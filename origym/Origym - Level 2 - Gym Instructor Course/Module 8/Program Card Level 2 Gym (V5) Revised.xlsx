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C:\Users\deanw\Downloads\"/>
    </mc:Choice>
  </mc:AlternateContent>
  <xr:revisionPtr revIDLastSave="0" documentId="13_ncr:1_{BE62DE27-F7EB-48AB-9FBD-E94EA2B11F1F}" xr6:coauthVersionLast="47" xr6:coauthVersionMax="47" xr10:uidLastSave="{00000000-0000-0000-0000-000000000000}"/>
  <bookViews>
    <workbookView xWindow="-105" yWindow="0" windowWidth="31545" windowHeight="20985" xr2:uid="{90A9EE38-0757-3942-893F-60211DFEB50C}"/>
  </bookViews>
  <sheets>
    <sheet name="Sheet1" sheetId="1" r:id="rId1"/>
    <sheet name="Sheet2" sheetId="2" state="hidden" r:id="rId2"/>
  </sheets>
  <definedNames>
    <definedName name="_xlnm.Print_Area" localSheetId="0">Sheet1!$A$1:$J$46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0" i="1" l="1"/>
  <c r="H24" i="1"/>
  <c r="H22" i="1"/>
  <c r="I10" i="1"/>
  <c r="H18" i="1" l="1"/>
  <c r="I45" i="1" l="1"/>
  <c r="I5" i="1" l="1"/>
  <c r="H40" i="1" l="1"/>
  <c r="H38" i="1"/>
  <c r="H36" i="1"/>
  <c r="H33" i="1"/>
  <c r="H31" i="1"/>
  <c r="H29" i="1"/>
  <c r="H27" i="1"/>
</calcChain>
</file>

<file path=xl/sharedStrings.xml><?xml version="1.0" encoding="utf-8"?>
<sst xmlns="http://schemas.openxmlformats.org/spreadsheetml/2006/main" count="365" uniqueCount="242">
  <si>
    <t>Pre-Workout</t>
  </si>
  <si>
    <t>Sets</t>
  </si>
  <si>
    <t>Reps</t>
  </si>
  <si>
    <t>%1RM</t>
  </si>
  <si>
    <t>Rest</t>
  </si>
  <si>
    <t>Post Workout</t>
  </si>
  <si>
    <t>Teaching Points</t>
  </si>
  <si>
    <t>Fixed Resistance</t>
  </si>
  <si>
    <t>Free Weight</t>
  </si>
  <si>
    <t>Body Weight</t>
  </si>
  <si>
    <t>Seated Chest Press</t>
  </si>
  <si>
    <t>Seated Row</t>
  </si>
  <si>
    <t>Front Raise</t>
  </si>
  <si>
    <t>Single Arm Row</t>
  </si>
  <si>
    <t>Bent Arm Pullover</t>
  </si>
  <si>
    <t>Chins</t>
  </si>
  <si>
    <t>Press ups</t>
  </si>
  <si>
    <t>Lunge</t>
  </si>
  <si>
    <t>1 - 2</t>
  </si>
  <si>
    <t>95-100%</t>
  </si>
  <si>
    <t>2 - 3</t>
  </si>
  <si>
    <t>3 - 5</t>
  </si>
  <si>
    <t>5 - 6</t>
  </si>
  <si>
    <t>6 - 8</t>
  </si>
  <si>
    <t>8 - 10</t>
  </si>
  <si>
    <t>10 - 12</t>
  </si>
  <si>
    <t>12 - 15</t>
  </si>
  <si>
    <t>15 - 18</t>
  </si>
  <si>
    <t>18 - 20</t>
  </si>
  <si>
    <t>20 - 25</t>
  </si>
  <si>
    <t>5</t>
  </si>
  <si>
    <t>4</t>
  </si>
  <si>
    <t>3</t>
  </si>
  <si>
    <t>2</t>
  </si>
  <si>
    <t>1</t>
  </si>
  <si>
    <t>90 - 95%</t>
  </si>
  <si>
    <t>85 - 90%</t>
  </si>
  <si>
    <t>80 - 85%</t>
  </si>
  <si>
    <t>75 - 80%</t>
  </si>
  <si>
    <t>70 - 75%</t>
  </si>
  <si>
    <t>65 - 70%</t>
  </si>
  <si>
    <t>60 - 65%</t>
  </si>
  <si>
    <t>55 - 60%</t>
  </si>
  <si>
    <t>50 -55%</t>
  </si>
  <si>
    <t>&lt;50</t>
  </si>
  <si>
    <t>2m</t>
  </si>
  <si>
    <t>5m</t>
  </si>
  <si>
    <t>60s</t>
  </si>
  <si>
    <t>30 - 45s</t>
  </si>
  <si>
    <t>45 - 60s</t>
  </si>
  <si>
    <t>60 - 90s</t>
  </si>
  <si>
    <t>90s - 2m</t>
  </si>
  <si>
    <t>2 - 3m</t>
  </si>
  <si>
    <t>3 - 4m</t>
  </si>
  <si>
    <t>4 - 5m</t>
  </si>
  <si>
    <t>0 - 30s</t>
  </si>
  <si>
    <t>DB Bench Press</t>
  </si>
  <si>
    <t xml:space="preserve">Forearms vertical when the dumbbells are in contact with the chest, lower the dumbbells to gently touch the chest – no bouncing, keep wrists straight, brace core, keep feet flat on the floor, arch lower back slightly, grip bar tightly </t>
  </si>
  <si>
    <t xml:space="preserve">Keep elbows slightly bent but rigid, raise dumbbells forward and up to shoulder-height, keep wrists straight, brace core, do not lean forward or backward </t>
  </si>
  <si>
    <t xml:space="preserve">Support weight on one arm, brace core, adopt a neutral spine, keep shoulders down and back, lead with the elbow, keep wrist straight, pull weight into upper ribs  </t>
  </si>
  <si>
    <t xml:space="preserve">Keep elbows soft but fixed throughout, extend arms overhead as far as flexibility allows, do not excessively arch lower back, keep core braced </t>
  </si>
  <si>
    <t>FW Teaching Points</t>
  </si>
  <si>
    <t xml:space="preserve">Adjust seat so chest is are level with handles, left chest but keep upper back pressed against bench, keep wrists straight, extend arms fully but no not lock elbows, keep wrists straight, look straight ahead </t>
  </si>
  <si>
    <t>Keep torso vertical, pull shoulders down and back, look straight ahead, lead with  the elbows, keep wrists straight and pull handles towards the body</t>
  </si>
  <si>
    <t>Seated Shoulder Press</t>
  </si>
  <si>
    <t xml:space="preserve">Keep chest up and lower back slightly arched, keep elbows under hands, maintain straight wrists, push straight up and overhead  </t>
  </si>
  <si>
    <t>Lat Pull Down</t>
  </si>
  <si>
    <t>Pec Dec</t>
  </si>
  <si>
    <t xml:space="preserve">Adjust seat so arms are parallel to the floor, keep elbows slightly bent but rigid throughout, avoid hyperextending the shoulders, keep wrists straight  </t>
  </si>
  <si>
    <t>Keep chest up, lean back slightly, pull the elbows down and back, pull the bar to the upper chest, keep wrists straight, do not pull the bar down behind the neck</t>
  </si>
  <si>
    <t>Pull over machine</t>
  </si>
  <si>
    <t xml:space="preserve">Make sure shoulder shoulders are in avoid hyperextending the lower back, avoid hyperextending the shoulders, lead with the elbows </t>
  </si>
  <si>
    <t>Set weight to counterbalance required amount of bodyweight, mount machine carefully, pull the body up so the chin is level with the hands, extend arms and lower all the way down but do not relax at the bottom of the rep</t>
  </si>
  <si>
    <t>Assisted Chin Up</t>
  </si>
  <si>
    <t>Tricep Push Down</t>
  </si>
  <si>
    <t xml:space="preserve">Keep elbows tucked into the ribs, brace abs, keep chest up and shoulders down and back, do not lean forward, keep head up and look straight ahead, keep wrists straight </t>
  </si>
  <si>
    <t>Keep elbows tucked into sides, do not use legs or back to raise weight, keep wrists straight, keep core tightly braced, look forward and keep torso upright, extend arms fully at the bottom of each rep</t>
  </si>
  <si>
    <t xml:space="preserve">Cable Bicep Curl </t>
  </si>
  <si>
    <t>Leg Press</t>
  </si>
  <si>
    <t>Push with flat feet and feet completely on footplate, extend legs fully but do not lock knees, avoid rounding the lower back, bend knees to no more than 90-degrees</t>
  </si>
  <si>
    <t>Leg Extension</t>
  </si>
  <si>
    <t xml:space="preserve">Line knees up with lever arm pivot point, position roller just above ankles, extend legs fully but under control, do not allow the weights to touch between repetitions, keep upper body relaxed </t>
  </si>
  <si>
    <t xml:space="preserve">Line knees up with lever arm pivot point, position roller just behind ankles, do not allow the weights to touch between repetitions, keep upper body relaxed, extend legs fully but do not hyperextend knees </t>
  </si>
  <si>
    <t>Leg Curl</t>
  </si>
  <si>
    <t>Place outside of knees against pads and push legs outward as far as is comfortable, return to starting position but do not allow weights to touch between repetitions, maintain an upright torso, neutral spine and relaxed upper body</t>
  </si>
  <si>
    <t>Hip Abduction</t>
  </si>
  <si>
    <t>Hip Adduction</t>
  </si>
  <si>
    <t>Place inside of knees against pads and push legs in toward each other until they touch. Open the legs as far as flexibility allows and then repeat.</t>
  </si>
  <si>
    <t>Seated Calf Raise</t>
  </si>
  <si>
    <t>Place balls of feet on foot plate and the pad of the machine just above the knees; make sure shins are perfectly vertical. Lower heels as far below the toes as flexibility permits and then push up and onto tiptoes</t>
  </si>
  <si>
    <t xml:space="preserve">Place balls of feet on foot plate and shoulders under the pads. Brace core and stand with legs straight. Lower heels as far below the toes as flexibility permits and then push up and onto tiptoes </t>
  </si>
  <si>
    <t>Shoulder Press</t>
  </si>
  <si>
    <t>Keep shoulders retracted and chest up, brace core, fully extend elbows but do not lock elbows, keep wrists straight, brace core especially if performed standing</t>
  </si>
  <si>
    <t xml:space="preserve">Keep elbows slightly bent, keep wrists straight, raise hands to shoulder level, lower weights to outside of the thighs, do not lean forward or backward </t>
  </si>
  <si>
    <t>DB Lateral Raises</t>
  </si>
  <si>
    <t>Place hands around one-hand’s width apart, lead with the elbows, keep the chest up and shoulders back, do not lean back at the top, do not use legs or back for assistance</t>
  </si>
  <si>
    <t>DB Upright Row</t>
  </si>
  <si>
    <t>DB Front Raise</t>
  </si>
  <si>
    <t>DB Flyes</t>
  </si>
  <si>
    <t xml:space="preserve">Incline upper body until torso is as close to parallel to the floor as possible, avoid rounding the lower back, keep knees soft, keep elbows slightly bent but rigid, lead with the elbows, form a T shape with arms at the top of the movement, do not use lower back to raise weight </t>
  </si>
  <si>
    <t>DB Reverse Flyes</t>
  </si>
  <si>
    <t>BB Bicep Curl</t>
  </si>
  <si>
    <t xml:space="preserve">Keep elbows tucked into sides, do not use legs or back to raise weight, keep wrists straight, keep core tightly braced, look forward and keep torso upright, extend arms fully at the bottom of each rep  </t>
  </si>
  <si>
    <t xml:space="preserve">Keep upper arms vertical, lower dumbbells to the forehead or bridge of the nose as preferred, extend arms fully but do not lock out elbows, use a spotter if performing this exercise with heavy weights or close to failure </t>
  </si>
  <si>
    <t>Supine Tricep Extensions</t>
  </si>
  <si>
    <t>DB Tricep Kick Backs</t>
  </si>
  <si>
    <t>Bend forwards from the hip for support, maintain neutral spine, back should be parallel to the floor, keep upper arm against ribs, fully extend elbow, only bend arm to 90-degrees</t>
  </si>
  <si>
    <t>DB Squats</t>
  </si>
  <si>
    <t xml:space="preserve">Firmly grip dumbells with each hand either side of the body. Adopt appropriate width stance according to height and limb length, initiate descent by pushing hips back, descend as far as comfortable without allowing lower back to round out, push knees outward, keep weight on heels, do not allow knees to travel forward of toes, keep core braced, stand fully erect between reps </t>
  </si>
  <si>
    <t>DB Lunges</t>
  </si>
  <si>
    <t xml:space="preserve">Step forward and bend knees, keep front shin vertical, do not let knee travel forward of toes, maintain upright torso, alternate legs rep by rep, touch rear knee lightly to the floor if it touches at all </t>
  </si>
  <si>
    <t>Deadlifts</t>
  </si>
  <si>
    <t>Grip bar with an overhand or mixed grip, keep arms straight tightly arch lower back, brace core, keep hips below shoulders and weight on the heels, do not round upper or lower back, pull shoulders back and down, maintain neutral spine</t>
  </si>
  <si>
    <t>Romainian Deadlift</t>
  </si>
  <si>
    <t>Keep knees slightly bent but rigid throughout, push hips back, keep bar  lose to the legs, do not allow lower back to round, keep shoulders pulled back, lift chest, keep arms straight, grip bar tightly</t>
  </si>
  <si>
    <t>Step Ups</t>
  </si>
  <si>
    <t>Place whole foot on the top of the step, keep torso upright, perform an equal number of repetitions on each leg, set platform so that thigh is parallel to floor when foot is placed on step, minimise push off from foot on floor, look straight forward</t>
  </si>
  <si>
    <t>Grasp the bar with an underhand, narrower-than shoulder width grip. Hang from the bar with the arms straight, shoulders pulled down and back. Keep chest lifted and legs bent/crossed throughout. Pull the chin up to bar and  then descend all the way back down</t>
  </si>
  <si>
    <t xml:space="preserve">Grasp the bar with an overhand, slightly wider-than shoulder-width grip. Hang from the bar with the arms straight, shoulders pulled down and back. Keep chest lifted and legs bent/crossed throughout. Pull the chin up to bar and then descend all the way back down </t>
  </si>
  <si>
    <t>Pull Ups</t>
  </si>
  <si>
    <t xml:space="preserve">Place hands flat on the floor at shoulder-width or wider apart, brace abdominals, lower chest to within an inch of the floor, push back up, extend arms but do not lock elbows </t>
  </si>
  <si>
    <t>Adopt appropriate width stance according to height and limb length, initiate descent by pushing hips back, descend as far as comfortable without allowing lower back to round out, push knees outward keep weight on heels, do not allow knees to travel forward of toes, keep core braced</t>
  </si>
  <si>
    <t>Squats</t>
  </si>
  <si>
    <t xml:space="preserve">Step forward and bend knees, keep front shin vertical, do not let knee travel forward of toes, maintain upright torso, alternate legs rep by rep  </t>
  </si>
  <si>
    <t>Ab Crunches</t>
  </si>
  <si>
    <t xml:space="preserve">Place hands on the temples, across the chest or on the thighs as preferred. Curl up rather than sit up – there should be approximately 30-degrees of spinal flexion. Keep legs bent and feet flat on the floor and maintain neutral head alignment </t>
  </si>
  <si>
    <t>Planks</t>
  </si>
  <si>
    <t xml:space="preserve">Ensure upper arms are perpendicular to the floor and the feet, hips and shoulders form a straight line. Keep core braced and maintain straight position without holding the breath </t>
  </si>
  <si>
    <t>Back Extensions</t>
  </si>
  <si>
    <t xml:space="preserve">Keep legs straight and feet on the floor, place the hands behind the back or lightly touching the temples, lift upper body up until chest clears the floor, avoid lumbar hyperextension  </t>
  </si>
  <si>
    <t>Keep elbows slightly bent, do not alter angle of the elbows during reps, lower the weights to shoulder-level, keep wrists straight, brace core, place feet flat on the floor</t>
  </si>
  <si>
    <t>NAME:</t>
  </si>
  <si>
    <t>LIFTS</t>
  </si>
  <si>
    <t>Standing Calf Raise</t>
  </si>
  <si>
    <t>Adjust the height of the seat on the seated ab-crunch machine so that the front of your shoulders rest against the padded lever. Insert the pin into the weight stack to select the load you'd like to lift. Sit on the machine and lift your arms over the lever pad. Exhale and flex your waist to push against he padded lever and bend forward at the waist. Keep your hips in the seat. Inhale as you extend your waist and return to a vertical sitting position.</t>
  </si>
  <si>
    <t>Back Extension</t>
  </si>
  <si>
    <t>Seated crunch</t>
  </si>
  <si>
    <t>Follow machine instructions for set up and select desired weight. Sit so that feet are on (or behind) foot rest, and back pad is on your upper back (shoulder blades) while your torso is slightly pitched forward. Keep knees above ankles, back straight, abs engaged, and arms crossed at your chest. </t>
  </si>
  <si>
    <t>Warm Up Equipment</t>
  </si>
  <si>
    <t>Main CV Equipment</t>
  </si>
  <si>
    <t>Cardio</t>
  </si>
  <si>
    <t>Treadmill</t>
  </si>
  <si>
    <t>X-Trainer</t>
  </si>
  <si>
    <t>Bike</t>
  </si>
  <si>
    <t>Rower</t>
  </si>
  <si>
    <t xml:space="preserve">Use a heel/toe action, look directly forward, stand near the front of the belt, avoid holding on while running, keep torso upright, keep upper body relaxed  </t>
  </si>
  <si>
    <t xml:space="preserve">Set seat to proper height, sit tall and face forwards, pedal without rocking from side-to-side, maintain 70-90 RPM, keep upper body relaxed </t>
  </si>
  <si>
    <t xml:space="preserve">Place whole foot on footplates, keep torso upright, look straight ahead, keep shoulders down, do not rock from side to side  </t>
  </si>
  <si>
    <t>Duration</t>
  </si>
  <si>
    <t>Interval</t>
  </si>
  <si>
    <t>Speed</t>
  </si>
  <si>
    <t>Level/Grade</t>
  </si>
  <si>
    <t>Exercise Order</t>
  </si>
  <si>
    <t>Order sequence</t>
  </si>
  <si>
    <t xml:space="preserve"> </t>
  </si>
  <si>
    <t>Sit up tall, drive with the legs and then pull with the arms, avoid slouching, pull handle to abdomen, do not twist chain, use an overhand grip</t>
  </si>
  <si>
    <t>RPE</t>
  </si>
  <si>
    <t>0 - 2</t>
  </si>
  <si>
    <t>2 - 5</t>
  </si>
  <si>
    <t>5 - 9</t>
  </si>
  <si>
    <t>9 - 12</t>
  </si>
  <si>
    <t>Time Intervals</t>
  </si>
  <si>
    <t xml:space="preserve">level </t>
  </si>
  <si>
    <t>50 - 60 rpm</t>
  </si>
  <si>
    <t>60 - 80 rpm</t>
  </si>
  <si>
    <t>80 - 100 rpm</t>
  </si>
  <si>
    <t>100 - 120 rpm</t>
  </si>
  <si>
    <t>120 - 140 rpm</t>
  </si>
  <si>
    <t>140 - 160 rpm</t>
  </si>
  <si>
    <t>60 - 80 watts</t>
  </si>
  <si>
    <t>80 - 100 watts</t>
  </si>
  <si>
    <t>100 - 120 watts</t>
  </si>
  <si>
    <t>120 - 140 watts</t>
  </si>
  <si>
    <t>140 - 160 watts</t>
  </si>
  <si>
    <t>160 - 180 watts</t>
  </si>
  <si>
    <t>180 - 200 wats</t>
  </si>
  <si>
    <t>&gt;200 watts</t>
  </si>
  <si>
    <t>4 km/ph</t>
  </si>
  <si>
    <t>4.5 km/ph</t>
  </si>
  <si>
    <t>5 km/ph</t>
  </si>
  <si>
    <t>5.5 km/ph</t>
  </si>
  <si>
    <t>6 km/ph</t>
  </si>
  <si>
    <t>6.5 km/ph</t>
  </si>
  <si>
    <t>7 km/ph</t>
  </si>
  <si>
    <t>7.5 km/ph</t>
  </si>
  <si>
    <t>8 km/ph</t>
  </si>
  <si>
    <t>8.5 km/ph</t>
  </si>
  <si>
    <t>9 km/ph</t>
  </si>
  <si>
    <t>10 km/ph</t>
  </si>
  <si>
    <t>10.5 km/ph</t>
  </si>
  <si>
    <t>11 km/ph</t>
  </si>
  <si>
    <t>11.5 km/ph</t>
  </si>
  <si>
    <t>12 km/ph</t>
  </si>
  <si>
    <t>12.5 km/ph</t>
  </si>
  <si>
    <t>13 km/ph</t>
  </si>
  <si>
    <t>TREADMILL</t>
  </si>
  <si>
    <t>ROWER</t>
  </si>
  <si>
    <t>5 minutes</t>
  </si>
  <si>
    <t>0 (6-7)</t>
  </si>
  <si>
    <t>1 (7-8)</t>
  </si>
  <si>
    <t>2 (8-9)</t>
  </si>
  <si>
    <t>3 (9-10)</t>
  </si>
  <si>
    <t>4 (11-12)</t>
  </si>
  <si>
    <t>5 (13-14)</t>
  </si>
  <si>
    <t>6 (14-15)</t>
  </si>
  <si>
    <t>7 (15-16)</t>
  </si>
  <si>
    <t>9 (18-19)</t>
  </si>
  <si>
    <t>10 (19-20)</t>
  </si>
  <si>
    <t>8 (17-18)</t>
  </si>
  <si>
    <t>Dynamic Stretches</t>
  </si>
  <si>
    <t>Date:</t>
  </si>
  <si>
    <t>D Stretches</t>
  </si>
  <si>
    <t>Squat to overhead reach</t>
  </si>
  <si>
    <t>Lunge with a twist</t>
  </si>
  <si>
    <t>Posterior step with overhead reach</t>
  </si>
  <si>
    <t>Push and pull</t>
  </si>
  <si>
    <t>Squat to overhead reach with twist</t>
  </si>
  <si>
    <t>Stretch 1</t>
  </si>
  <si>
    <t>Stretch 3</t>
  </si>
  <si>
    <t>reps/sets</t>
  </si>
  <si>
    <t>Reps/sets</t>
  </si>
  <si>
    <t>20 x 1</t>
  </si>
  <si>
    <t>15 x 2</t>
  </si>
  <si>
    <t>10 x 3</t>
  </si>
  <si>
    <t>Cool Down Equipment</t>
  </si>
  <si>
    <t>20 minutes</t>
  </si>
  <si>
    <t>Stretch 2</t>
  </si>
  <si>
    <t>Cardio Equipment 1</t>
  </si>
  <si>
    <t>Cardio Equipment 2</t>
  </si>
  <si>
    <t>Cardio Equipment 3</t>
  </si>
  <si>
    <t>BIKE / X-TRAINER</t>
  </si>
  <si>
    <t>Use the intervals as stated within the dropdown boxes do not deviate and ensure they are sequential e.g. 0-2 - 2-5</t>
  </si>
  <si>
    <t>You must show a 20 minute "aerobic curve"</t>
  </si>
  <si>
    <t>You must show 3 different stretches</t>
  </si>
  <si>
    <t>Use the intervals as stated within the dropdown boxes do not deviate and ensure they are sequential e.g. 0-2 - 2-5 through to 18-20</t>
  </si>
  <si>
    <t>Exercise order: Show how you would sequence the exercises e.g. which eercise would go first (1) through to last (11)</t>
  </si>
  <si>
    <t>For reps/sets/%1RM and Rest refer to the "power grid"</t>
  </si>
  <si>
    <t>Cool downs should show a reverse in level, speed and RPE</t>
  </si>
  <si>
    <t>Programme Card Notes:</t>
  </si>
  <si>
    <t>Ensure name and date are completed with your clients details</t>
  </si>
  <si>
    <t>You must choose 3 different pieces of Cardio equipment: x1 Warm up x1 Main CV x1 Cool Down (dark grey boxes)</t>
  </si>
  <si>
    <t>Cat Whittingslow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</si>
</sst>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2"/>
      <color theme="1"/>
      <name val="Calibri"/>
      <family val="2"/>
      <scheme val="minor"/>
    </font>
    <font>
      <b/>
      <sz val="12"/>
      <color rgb="FFFFFFFF"/>
      <name val="Calibri"/>
      <family val="2"/>
    </font>
    <font>
      <b/>
      <sz val="8"/>
      <color theme="0"/>
      <name val="Calibri"/>
      <family val="2"/>
    </font>
    <font>
      <b/>
      <sz val="12"/>
      <color theme="0"/>
      <name val="Calibri"/>
      <family val="2"/>
    </font>
    <font>
      <b/>
      <sz val="10"/>
      <name val="Calibri"/>
      <family val="2"/>
    </font>
    <font>
      <sz val="10"/>
      <name val="Calibri"/>
      <family val="2"/>
    </font>
    <font>
      <b/>
      <sz val="8"/>
      <color rgb="FFFFFFFF"/>
      <name val="Calibri"/>
      <family val="2"/>
    </font>
    <font>
      <b/>
      <sz val="12"/>
      <color theme="1"/>
      <name val="Calibri"/>
      <family val="2"/>
      <scheme val="minor"/>
    </font>
    <font>
      <b/>
      <sz val="12"/>
      <color theme="1"/>
      <name val="Calibri"/>
      <family val="2"/>
    </font>
    <font>
      <b/>
      <sz val="8"/>
      <name val="Calibri"/>
      <family val="2"/>
    </font>
    <font>
      <b/>
      <sz val="9"/>
      <color theme="1"/>
      <name val="Calibri"/>
      <family val="2"/>
    </font>
    <font>
      <b/>
      <sz val="8"/>
      <color theme="1"/>
      <name val="Calibri"/>
      <family val="2"/>
    </font>
    <font>
      <b/>
      <u/>
      <sz val="12"/>
      <color theme="1"/>
      <name val="Calibri"/>
      <family val="2"/>
      <scheme val="minor"/>
    </font>
    <font>
      <b/>
      <sz val="9"/>
      <color theme="0"/>
      <name val="Calibri"/>
      <family val="2"/>
    </font>
    <font>
      <sz val="12"/>
      <name val="Calibri"/>
      <family val="2"/>
    </font>
    <font>
      <sz val="9"/>
      <color theme="1"/>
      <name val="Calibri"/>
      <family val="2"/>
      <scheme val="minor"/>
    </font>
    <font>
      <sz val="8"/>
      <color theme="1"/>
      <name val="Calibri"/>
      <family val="2"/>
      <scheme val="minor"/>
    </font>
    <font>
      <sz val="12"/>
      <name val="Calibri"/>
      <family val="2"/>
      <scheme val="minor"/>
    </font>
    <font>
      <b/>
      <sz val="8"/>
      <name val="Calibri"/>
      <family val="2"/>
      <scheme val="minor"/>
    </font>
    <font>
      <b/>
      <sz val="14"/>
      <color theme="0"/>
      <name val="Calibri"/>
      <family val="2"/>
    </font>
    <font>
      <sz val="11"/>
      <color theme="1"/>
      <name val="Calibri"/>
      <family val="2"/>
      <scheme val="minor"/>
    </font>
    <font>
      <b/>
      <u/>
      <sz val="11"/>
      <color theme="1"/>
      <name val="Calibri (Body)_x0000_"/>
    </font>
    <font>
      <b/>
      <sz val="8"/>
      <color theme="1"/>
      <name val="Calibri"/>
      <family val="2"/>
      <scheme val="minor"/>
    </font>
    <font>
      <sz val="8"/>
      <name val="Calibri (Body)"/>
    </font>
    <font>
      <b/>
      <u/>
      <sz val="9"/>
      <name val="Calibri (Body)"/>
    </font>
    <font>
      <sz val="10"/>
      <name val="Verdana"/>
      <family val="2"/>
    </font>
  </fonts>
  <fills count="15">
    <fill>
      <patternFill patternType="none"/>
    </fill>
    <fill>
      <patternFill patternType="gray125"/>
    </fill>
    <fill>
      <patternFill patternType="solid">
        <fgColor theme="2" tint="-0.749992370372631"/>
        <bgColor rgb="FF000000"/>
      </patternFill>
    </fill>
    <fill>
      <patternFill patternType="solid">
        <fgColor theme="2" tint="-0.749992370372631"/>
        <bgColor indexed="64"/>
      </patternFill>
    </fill>
    <fill>
      <patternFill patternType="solid">
        <fgColor theme="2" tint="-0.499984740745262"/>
        <bgColor indexed="64"/>
      </patternFill>
    </fill>
    <fill>
      <patternFill patternType="solid">
        <fgColor theme="0" tint="-0.14999847407452621"/>
        <bgColor indexed="64"/>
      </patternFill>
    </fill>
    <fill>
      <patternFill patternType="solid">
        <fgColor theme="1"/>
        <bgColor indexed="64"/>
      </patternFill>
    </fill>
    <fill>
      <patternFill patternType="solid">
        <fgColor theme="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0" tint="-0.249977111117893"/>
        <bgColor indexed="64"/>
      </patternFill>
    </fill>
    <fill>
      <patternFill patternType="solid">
        <fgColor theme="1" tint="0.34998626667073579"/>
        <bgColor indexed="64"/>
      </patternFill>
    </fill>
    <fill>
      <patternFill patternType="solid">
        <fgColor theme="7" tint="0.79998168889431442"/>
        <bgColor indexed="64"/>
      </patternFill>
    </fill>
    <fill>
      <patternFill patternType="solid">
        <fgColor theme="3" tint="0.79998168889431442"/>
        <bgColor indexed="64"/>
      </patternFill>
    </fill>
  </fills>
  <borders count="60">
    <border>
      <left/>
      <right/>
      <top/>
      <bottom/>
      <diagonal/>
    </border>
    <border>
      <left style="medium">
        <color auto="1"/>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top style="hair">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hair">
        <color auto="1"/>
      </right>
      <top/>
      <bottom style="hair">
        <color auto="1"/>
      </bottom>
      <diagonal/>
    </border>
    <border>
      <left style="hair">
        <color auto="1"/>
      </left>
      <right style="hair">
        <color auto="1"/>
      </right>
      <top/>
      <bottom style="hair">
        <color auto="1"/>
      </bottom>
      <diagonal/>
    </border>
    <border>
      <left style="hair">
        <color auto="1"/>
      </left>
      <right/>
      <top/>
      <bottom style="hair">
        <color auto="1"/>
      </bottom>
      <diagonal/>
    </border>
    <border>
      <left style="medium">
        <color auto="1"/>
      </left>
      <right style="hair">
        <color auto="1"/>
      </right>
      <top style="medium">
        <color auto="1"/>
      </top>
      <bottom/>
      <diagonal/>
    </border>
    <border>
      <left style="hair">
        <color auto="1"/>
      </left>
      <right style="hair">
        <color auto="1"/>
      </right>
      <top style="medium">
        <color auto="1"/>
      </top>
      <bottom/>
      <diagonal/>
    </border>
    <border>
      <left style="medium">
        <color auto="1"/>
      </left>
      <right/>
      <top/>
      <bottom style="hair">
        <color auto="1"/>
      </bottom>
      <diagonal/>
    </border>
    <border>
      <left/>
      <right/>
      <top/>
      <bottom style="hair">
        <color auto="1"/>
      </bottom>
      <diagonal/>
    </border>
    <border>
      <left/>
      <right style="medium">
        <color auto="1"/>
      </right>
      <top/>
      <bottom style="hair">
        <color auto="1"/>
      </bottom>
      <diagonal/>
    </border>
    <border>
      <left style="hair">
        <color auto="1"/>
      </left>
      <right style="hair">
        <color auto="1"/>
      </right>
      <top/>
      <bottom style="medium">
        <color auto="1"/>
      </bottom>
      <diagonal/>
    </border>
    <border>
      <left style="hair">
        <color auto="1"/>
      </left>
      <right style="medium">
        <color auto="1"/>
      </right>
      <top/>
      <bottom style="medium">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hair">
        <color auto="1"/>
      </left>
      <right/>
      <top style="medium">
        <color auto="1"/>
      </top>
      <bottom/>
      <diagonal/>
    </border>
    <border>
      <left style="hair">
        <color auto="1"/>
      </left>
      <right/>
      <top/>
      <bottom style="medium">
        <color auto="1"/>
      </bottom>
      <diagonal/>
    </border>
    <border>
      <left style="medium">
        <color auto="1"/>
      </left>
      <right style="hair">
        <color auto="1"/>
      </right>
      <top/>
      <bottom style="medium">
        <color auto="1"/>
      </bottom>
      <diagonal/>
    </border>
    <border>
      <left style="thin">
        <color indexed="64"/>
      </left>
      <right style="thin">
        <color indexed="64"/>
      </right>
      <top style="thin">
        <color indexed="64"/>
      </top>
      <bottom style="thin">
        <color indexed="64"/>
      </bottom>
      <diagonal/>
    </border>
    <border>
      <left style="medium">
        <color auto="1"/>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auto="1"/>
      </left>
      <right/>
      <top style="hair">
        <color auto="1"/>
      </top>
      <bottom style="medium">
        <color auto="1"/>
      </bottom>
      <diagonal/>
    </border>
    <border>
      <left/>
      <right/>
      <top style="hair">
        <color auto="1"/>
      </top>
      <bottom style="medium">
        <color auto="1"/>
      </bottom>
      <diagonal/>
    </border>
    <border>
      <left/>
      <right style="medium">
        <color auto="1"/>
      </right>
      <top style="hair">
        <color auto="1"/>
      </top>
      <bottom style="medium">
        <color auto="1"/>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hair">
        <color auto="1"/>
      </left>
      <right style="medium">
        <color auto="1"/>
      </right>
      <top style="medium">
        <color auto="1"/>
      </top>
      <bottom/>
      <diagonal/>
    </border>
    <border>
      <left style="medium">
        <color auto="1"/>
      </left>
      <right/>
      <top style="medium">
        <color auto="1"/>
      </top>
      <bottom style="thin">
        <color indexed="64"/>
      </bottom>
      <diagonal/>
    </border>
    <border>
      <left/>
      <right style="medium">
        <color auto="1"/>
      </right>
      <top style="medium">
        <color auto="1"/>
      </top>
      <bottom style="thin">
        <color indexed="64"/>
      </bottom>
      <diagonal/>
    </border>
  </borders>
  <cellStyleXfs count="1">
    <xf numFmtId="0" fontId="0" fillId="0" borderId="0"/>
  </cellStyleXfs>
  <cellXfs count="192">
    <xf numFmtId="0" fontId="0" fillId="0" borderId="0" xfId="0"/>
    <xf numFmtId="0" fontId="7" fillId="0" borderId="0" xfId="0" applyFont="1" applyAlignment="1">
      <alignment vertical="center"/>
    </xf>
    <xf numFmtId="49" fontId="0" fillId="0" borderId="0" xfId="0" applyNumberFormat="1" applyAlignment="1">
      <alignment horizontal="center"/>
    </xf>
    <xf numFmtId="49" fontId="7" fillId="0" borderId="0" xfId="0" applyNumberFormat="1" applyFont="1" applyAlignment="1">
      <alignment horizontal="center" vertical="center"/>
    </xf>
    <xf numFmtId="0" fontId="0" fillId="0" borderId="0" xfId="0" applyAlignment="1">
      <alignment wrapText="1"/>
    </xf>
    <xf numFmtId="0" fontId="5" fillId="6" borderId="11" xfId="0" applyFont="1" applyFill="1" applyBorder="1" applyAlignment="1" applyProtection="1">
      <alignment horizontal="center" shrinkToFit="1"/>
      <protection hidden="1"/>
    </xf>
    <xf numFmtId="0" fontId="13" fillId="3" borderId="0" xfId="0" applyFont="1" applyFill="1" applyAlignment="1">
      <alignment horizontal="center" vertical="center" shrinkToFit="1"/>
    </xf>
    <xf numFmtId="0" fontId="14" fillId="0" borderId="0" xfId="0" applyFont="1" applyAlignment="1">
      <alignment wrapText="1"/>
    </xf>
    <xf numFmtId="16" fontId="0" fillId="0" borderId="0" xfId="0" applyNumberFormat="1" applyAlignment="1">
      <alignment wrapText="1"/>
    </xf>
    <xf numFmtId="0" fontId="2" fillId="3" borderId="0" xfId="0" applyFont="1" applyFill="1" applyAlignment="1">
      <alignment horizontal="center" vertical="center" wrapText="1" shrinkToFit="1"/>
    </xf>
    <xf numFmtId="0" fontId="7" fillId="0" borderId="0" xfId="0" applyFont="1" applyAlignment="1">
      <alignment vertical="center" wrapText="1"/>
    </xf>
    <xf numFmtId="49" fontId="0" fillId="0" borderId="0" xfId="0" applyNumberFormat="1"/>
    <xf numFmtId="49" fontId="7" fillId="0" borderId="0" xfId="0" applyNumberFormat="1" applyFont="1" applyAlignment="1">
      <alignment vertical="center" wrapText="1"/>
    </xf>
    <xf numFmtId="0" fontId="12" fillId="0" borderId="0" xfId="0" applyFont="1" applyAlignment="1">
      <alignment horizontal="center" vertical="center"/>
    </xf>
    <xf numFmtId="49" fontId="7" fillId="0" borderId="0" xfId="0" applyNumberFormat="1" applyFont="1" applyAlignment="1">
      <alignment vertical="center"/>
    </xf>
    <xf numFmtId="0" fontId="17" fillId="0" borderId="0" xfId="0" applyFont="1" applyAlignment="1">
      <alignment horizontal="center" vertical="center"/>
    </xf>
    <xf numFmtId="0" fontId="18" fillId="0" borderId="30" xfId="0" applyFont="1" applyBorder="1" applyAlignment="1">
      <alignment horizontal="center" vertical="center" shrinkToFit="1"/>
    </xf>
    <xf numFmtId="0" fontId="16" fillId="0" borderId="0" xfId="0" applyFont="1" applyAlignment="1">
      <alignment horizontal="center" wrapText="1"/>
    </xf>
    <xf numFmtId="0" fontId="2" fillId="4" borderId="49" xfId="0" applyFont="1" applyFill="1" applyBorder="1" applyAlignment="1">
      <alignment horizontal="center" vertical="center" shrinkToFit="1"/>
    </xf>
    <xf numFmtId="0" fontId="16" fillId="14" borderId="13" xfId="0" applyFont="1" applyFill="1" applyBorder="1" applyAlignment="1">
      <alignment horizontal="center" vertical="center" wrapText="1"/>
    </xf>
    <xf numFmtId="0" fontId="16" fillId="0" borderId="13" xfId="0" applyFont="1" applyBorder="1" applyAlignment="1">
      <alignment horizontal="center" vertical="center" wrapText="1"/>
    </xf>
    <xf numFmtId="0" fontId="5" fillId="6" borderId="10" xfId="0" applyFont="1" applyFill="1" applyBorder="1" applyAlignment="1" applyProtection="1">
      <alignment horizontal="center" shrinkToFit="1"/>
      <protection hidden="1"/>
    </xf>
    <xf numFmtId="0" fontId="0" fillId="0" borderId="0" xfId="0" applyAlignment="1">
      <alignment horizontal="center"/>
    </xf>
    <xf numFmtId="0" fontId="8" fillId="6" borderId="12" xfId="0" applyFont="1" applyFill="1" applyBorder="1" applyAlignment="1" applyProtection="1">
      <alignment horizontal="center" shrinkToFit="1"/>
      <protection hidden="1"/>
    </xf>
    <xf numFmtId="0" fontId="8" fillId="6" borderId="24" xfId="0" applyFont="1" applyFill="1" applyBorder="1" applyAlignment="1" applyProtection="1">
      <alignment horizontal="center" shrinkToFit="1"/>
      <protection hidden="1"/>
    </xf>
    <xf numFmtId="0" fontId="4" fillId="6" borderId="9" xfId="0" applyFont="1" applyFill="1" applyBorder="1" applyAlignment="1" applyProtection="1">
      <alignment horizontal="center" shrinkToFit="1"/>
      <protection hidden="1"/>
    </xf>
    <xf numFmtId="0" fontId="2" fillId="3" borderId="25" xfId="0" applyFont="1" applyFill="1" applyBorder="1" applyAlignment="1">
      <alignment horizontal="center" vertical="center" shrinkToFit="1"/>
    </xf>
    <xf numFmtId="0" fontId="18" fillId="0" borderId="32" xfId="0" applyFont="1" applyBorder="1" applyAlignment="1">
      <alignment horizontal="center" vertical="center" shrinkToFit="1"/>
    </xf>
    <xf numFmtId="0" fontId="18" fillId="0" borderId="33" xfId="0" applyFont="1" applyBorder="1" applyAlignment="1">
      <alignment horizontal="center" vertical="center" shrinkToFit="1"/>
    </xf>
    <xf numFmtId="0" fontId="18" fillId="0" borderId="33" xfId="0" applyFont="1" applyBorder="1" applyAlignment="1" applyProtection="1">
      <alignment horizontal="center" vertical="center" shrinkToFit="1"/>
      <protection locked="0"/>
    </xf>
    <xf numFmtId="0" fontId="18" fillId="0" borderId="30" xfId="0" applyFont="1" applyBorder="1" applyAlignment="1" applyProtection="1">
      <alignment horizontal="center" vertical="center" shrinkToFit="1"/>
      <protection locked="0"/>
    </xf>
    <xf numFmtId="0" fontId="18" fillId="0" borderId="32" xfId="0" applyFont="1" applyBorder="1" applyAlignment="1" applyProtection="1">
      <alignment horizontal="center" vertical="center" shrinkToFit="1"/>
      <protection locked="0"/>
    </xf>
    <xf numFmtId="0" fontId="0" fillId="0" borderId="30" xfId="0" applyBorder="1" applyAlignment="1" applyProtection="1">
      <alignment horizontal="center"/>
      <protection locked="0"/>
    </xf>
    <xf numFmtId="0" fontId="0" fillId="0" borderId="32" xfId="0" applyBorder="1" applyAlignment="1" applyProtection="1">
      <alignment horizontal="center"/>
      <protection locked="0"/>
    </xf>
    <xf numFmtId="0" fontId="0" fillId="0" borderId="34" xfId="0" applyBorder="1" applyAlignment="1" applyProtection="1">
      <alignment horizontal="center"/>
      <protection locked="0"/>
    </xf>
    <xf numFmtId="0" fontId="0" fillId="0" borderId="35" xfId="0" applyBorder="1" applyAlignment="1" applyProtection="1">
      <alignment horizontal="center" vertical="center"/>
      <protection locked="0"/>
    </xf>
    <xf numFmtId="0" fontId="0" fillId="0" borderId="42" xfId="0" applyBorder="1" applyAlignment="1" applyProtection="1">
      <alignment horizontal="center"/>
      <protection locked="0"/>
    </xf>
    <xf numFmtId="0" fontId="0" fillId="0" borderId="46" xfId="0" applyBorder="1" applyAlignment="1" applyProtection="1">
      <alignment horizontal="center"/>
      <protection locked="0"/>
    </xf>
    <xf numFmtId="0" fontId="0" fillId="0" borderId="30" xfId="0" applyBorder="1" applyAlignment="1" applyProtection="1">
      <alignment shrinkToFit="1"/>
      <protection locked="0" hidden="1"/>
    </xf>
    <xf numFmtId="0" fontId="0" fillId="0" borderId="32" xfId="0" applyBorder="1" applyAlignment="1" applyProtection="1">
      <alignment shrinkToFit="1"/>
      <protection locked="0" hidden="1"/>
    </xf>
    <xf numFmtId="0" fontId="0" fillId="0" borderId="55" xfId="0" applyBorder="1" applyAlignment="1" applyProtection="1">
      <alignment shrinkToFit="1"/>
      <protection locked="0" hidden="1"/>
    </xf>
    <xf numFmtId="0" fontId="0" fillId="0" borderId="41" xfId="0" applyBorder="1" applyAlignment="1" applyProtection="1">
      <alignment shrinkToFit="1"/>
      <protection locked="0" hidden="1"/>
    </xf>
    <xf numFmtId="0" fontId="22" fillId="11" borderId="42" xfId="0" applyFont="1" applyFill="1" applyBorder="1" applyAlignment="1" applyProtection="1">
      <alignment horizontal="center" vertical="center" wrapText="1"/>
      <protection locked="0"/>
    </xf>
    <xf numFmtId="0" fontId="15" fillId="0" borderId="0" xfId="0" applyFont="1"/>
    <xf numFmtId="0" fontId="24" fillId="14" borderId="1" xfId="0" applyFont="1" applyFill="1" applyBorder="1" applyAlignment="1">
      <alignment horizontal="left" vertical="top"/>
    </xf>
    <xf numFmtId="0" fontId="16" fillId="14" borderId="5" xfId="0" applyFont="1" applyFill="1" applyBorder="1" applyAlignment="1">
      <alignment vertical="center" wrapText="1"/>
    </xf>
    <xf numFmtId="0" fontId="23" fillId="14" borderId="5" xfId="0" applyFont="1" applyFill="1" applyBorder="1" applyAlignment="1">
      <alignment horizontal="left" vertical="center"/>
    </xf>
    <xf numFmtId="0" fontId="16" fillId="14" borderId="5" xfId="0" applyFont="1" applyFill="1" applyBorder="1" applyAlignment="1">
      <alignment horizontal="left" vertical="center" wrapText="1"/>
    </xf>
    <xf numFmtId="0" fontId="16" fillId="14" borderId="5" xfId="0" applyFont="1" applyFill="1" applyBorder="1" applyAlignment="1">
      <alignment vertical="center"/>
    </xf>
    <xf numFmtId="0" fontId="16" fillId="14" borderId="12" xfId="0" applyFont="1" applyFill="1" applyBorder="1" applyAlignment="1">
      <alignment vertical="center" wrapText="1"/>
    </xf>
    <xf numFmtId="0" fontId="9" fillId="5" borderId="6" xfId="0" applyFont="1" applyFill="1" applyBorder="1" applyAlignment="1" applyProtection="1">
      <alignment horizontal="center" vertical="center" wrapText="1" shrinkToFit="1"/>
      <protection hidden="1"/>
    </xf>
    <xf numFmtId="0" fontId="9" fillId="5" borderId="7" xfId="0" applyFont="1" applyFill="1" applyBorder="1" applyAlignment="1" applyProtection="1">
      <alignment horizontal="center" vertical="center" wrapText="1" shrinkToFit="1"/>
      <protection hidden="1"/>
    </xf>
    <xf numFmtId="0" fontId="9" fillId="5" borderId="8" xfId="0" applyFont="1" applyFill="1" applyBorder="1" applyAlignment="1" applyProtection="1">
      <alignment horizontal="center" vertical="center" wrapText="1" shrinkToFit="1"/>
      <protection hidden="1"/>
    </xf>
    <xf numFmtId="0" fontId="9" fillId="5" borderId="24" xfId="0" applyFont="1" applyFill="1" applyBorder="1" applyAlignment="1" applyProtection="1">
      <alignment horizontal="center" vertical="center" wrapText="1" shrinkToFit="1"/>
      <protection hidden="1"/>
    </xf>
    <xf numFmtId="0" fontId="9" fillId="5" borderId="25" xfId="0" applyFont="1" applyFill="1" applyBorder="1" applyAlignment="1" applyProtection="1">
      <alignment horizontal="center" vertical="center" wrapText="1" shrinkToFit="1"/>
      <protection hidden="1"/>
    </xf>
    <xf numFmtId="0" fontId="9" fillId="5" borderId="26" xfId="0" applyFont="1" applyFill="1" applyBorder="1" applyAlignment="1" applyProtection="1">
      <alignment horizontal="center" vertical="center" wrapText="1" shrinkToFit="1"/>
      <protection hidden="1"/>
    </xf>
    <xf numFmtId="0" fontId="9" fillId="5" borderId="19" xfId="0" applyFont="1" applyFill="1" applyBorder="1" applyAlignment="1" applyProtection="1">
      <alignment horizontal="center" vertical="center" wrapText="1" shrinkToFit="1"/>
      <protection hidden="1"/>
    </xf>
    <xf numFmtId="0" fontId="9" fillId="5" borderId="20" xfId="0" applyFont="1" applyFill="1" applyBorder="1" applyAlignment="1" applyProtection="1">
      <alignment horizontal="center" vertical="center" wrapText="1" shrinkToFit="1"/>
      <protection hidden="1"/>
    </xf>
    <xf numFmtId="0" fontId="9" fillId="5" borderId="21" xfId="0" applyFont="1" applyFill="1" applyBorder="1" applyAlignment="1" applyProtection="1">
      <alignment horizontal="center" vertical="center" wrapText="1" shrinkToFit="1"/>
      <protection hidden="1"/>
    </xf>
    <xf numFmtId="0" fontId="9" fillId="7" borderId="6" xfId="0" applyFont="1" applyFill="1" applyBorder="1" applyAlignment="1" applyProtection="1">
      <alignment horizontal="center" vertical="center" wrapText="1" shrinkToFit="1"/>
      <protection hidden="1"/>
    </xf>
    <xf numFmtId="0" fontId="9" fillId="7" borderId="7" xfId="0" applyFont="1" applyFill="1" applyBorder="1" applyAlignment="1" applyProtection="1">
      <alignment horizontal="center" vertical="center" wrapText="1" shrinkToFit="1"/>
      <protection hidden="1"/>
    </xf>
    <xf numFmtId="0" fontId="9" fillId="7" borderId="8" xfId="0" applyFont="1" applyFill="1" applyBorder="1" applyAlignment="1" applyProtection="1">
      <alignment horizontal="center" vertical="center" wrapText="1" shrinkToFit="1"/>
      <protection hidden="1"/>
    </xf>
    <xf numFmtId="0" fontId="9" fillId="7" borderId="19" xfId="0" applyFont="1" applyFill="1" applyBorder="1" applyAlignment="1" applyProtection="1">
      <alignment horizontal="center" vertical="center" wrapText="1" shrinkToFit="1"/>
      <protection hidden="1"/>
    </xf>
    <xf numFmtId="0" fontId="9" fillId="7" borderId="20" xfId="0" applyFont="1" applyFill="1" applyBorder="1" applyAlignment="1" applyProtection="1">
      <alignment horizontal="center" vertical="center" wrapText="1" shrinkToFit="1"/>
      <protection hidden="1"/>
    </xf>
    <xf numFmtId="0" fontId="9" fillId="7" borderId="21" xfId="0" applyFont="1" applyFill="1" applyBorder="1" applyAlignment="1" applyProtection="1">
      <alignment horizontal="center" vertical="center" wrapText="1" shrinkToFit="1"/>
      <protection hidden="1"/>
    </xf>
    <xf numFmtId="0" fontId="5" fillId="0" borderId="27" xfId="0" applyFont="1" applyBorder="1" applyAlignment="1" applyProtection="1">
      <alignment horizontal="center" vertical="center" shrinkToFit="1"/>
      <protection locked="0" hidden="1"/>
    </xf>
    <xf numFmtId="0" fontId="5" fillId="0" borderId="16" xfId="0" applyFont="1" applyBorder="1" applyAlignment="1" applyProtection="1">
      <alignment horizontal="center" vertical="center" shrinkToFit="1"/>
      <protection locked="0" hidden="1"/>
    </xf>
    <xf numFmtId="0" fontId="9" fillId="7" borderId="24" xfId="0" applyFont="1" applyFill="1" applyBorder="1" applyAlignment="1" applyProtection="1">
      <alignment horizontal="center" vertical="center" wrapText="1" shrinkToFit="1"/>
      <protection hidden="1"/>
    </xf>
    <xf numFmtId="0" fontId="9" fillId="7" borderId="25" xfId="0" applyFont="1" applyFill="1" applyBorder="1" applyAlignment="1" applyProtection="1">
      <alignment horizontal="center" vertical="center" wrapText="1" shrinkToFit="1"/>
      <protection hidden="1"/>
    </xf>
    <xf numFmtId="0" fontId="9" fillId="7" borderId="26" xfId="0" applyFont="1" applyFill="1" applyBorder="1" applyAlignment="1" applyProtection="1">
      <alignment horizontal="center" vertical="center" wrapText="1" shrinkToFit="1"/>
      <protection hidden="1"/>
    </xf>
    <xf numFmtId="0" fontId="15" fillId="0" borderId="38" xfId="0" applyFont="1" applyBorder="1" applyAlignment="1">
      <alignment vertical="center" wrapText="1"/>
    </xf>
    <xf numFmtId="0" fontId="15" fillId="0" borderId="39" xfId="0" applyFont="1" applyBorder="1" applyAlignment="1">
      <alignment vertical="center" wrapText="1"/>
    </xf>
    <xf numFmtId="0" fontId="15" fillId="0" borderId="40" xfId="0" applyFont="1" applyBorder="1" applyAlignment="1">
      <alignment vertical="center" wrapText="1"/>
    </xf>
    <xf numFmtId="0" fontId="15" fillId="0" borderId="41" xfId="0" applyFont="1" applyBorder="1" applyAlignment="1">
      <alignment vertical="center" wrapText="1"/>
    </xf>
    <xf numFmtId="0" fontId="15" fillId="0" borderId="36" xfId="0" applyFont="1" applyBorder="1" applyAlignment="1">
      <alignment horizontal="center" vertical="center" wrapText="1"/>
    </xf>
    <xf numFmtId="0" fontId="15" fillId="0" borderId="37" xfId="0" applyFont="1" applyBorder="1" applyAlignment="1">
      <alignment horizontal="center" vertical="center" wrapText="1"/>
    </xf>
    <xf numFmtId="0" fontId="15" fillId="0" borderId="44" xfId="0" applyFont="1" applyBorder="1" applyAlignment="1">
      <alignment horizontal="center" vertical="center" wrapText="1"/>
    </xf>
    <xf numFmtId="0" fontId="15" fillId="0" borderId="45" xfId="0" applyFont="1" applyBorder="1" applyAlignment="1">
      <alignment horizontal="center" vertical="center" wrapText="1"/>
    </xf>
    <xf numFmtId="0" fontId="18" fillId="0" borderId="2" xfId="0" applyFont="1" applyBorder="1" applyAlignment="1" applyProtection="1">
      <alignment horizontal="center" vertical="center" shrinkToFit="1"/>
      <protection locked="0"/>
    </xf>
    <xf numFmtId="0" fontId="18" fillId="0" borderId="4" xfId="0" applyFont="1" applyBorder="1" applyAlignment="1" applyProtection="1">
      <alignment horizontal="center" vertical="center" shrinkToFit="1"/>
      <protection locked="0"/>
    </xf>
    <xf numFmtId="0" fontId="5" fillId="5" borderId="27" xfId="0" applyFont="1" applyFill="1" applyBorder="1" applyAlignment="1" applyProtection="1">
      <alignment horizontal="center" vertical="center" shrinkToFit="1"/>
      <protection locked="0" hidden="1"/>
    </xf>
    <xf numFmtId="0" fontId="5" fillId="5" borderId="16" xfId="0" applyFont="1" applyFill="1" applyBorder="1" applyAlignment="1" applyProtection="1">
      <alignment horizontal="center" vertical="center" shrinkToFit="1"/>
      <protection locked="0" hidden="1"/>
    </xf>
    <xf numFmtId="0" fontId="5" fillId="0" borderId="28" xfId="0" applyFont="1" applyBorder="1" applyAlignment="1" applyProtection="1">
      <alignment horizontal="center" vertical="center" shrinkToFit="1"/>
      <protection locked="0" hidden="1"/>
    </xf>
    <xf numFmtId="0" fontId="5" fillId="5" borderId="28" xfId="0" applyFont="1" applyFill="1" applyBorder="1" applyAlignment="1" applyProtection="1">
      <alignment horizontal="center" vertical="center" shrinkToFit="1"/>
      <protection locked="0" hidden="1"/>
    </xf>
    <xf numFmtId="0" fontId="5" fillId="5" borderId="57" xfId="0" applyFont="1" applyFill="1" applyBorder="1" applyAlignment="1" applyProtection="1">
      <alignment horizontal="center" vertical="center" shrinkToFit="1"/>
      <protection locked="0" hidden="1"/>
    </xf>
    <xf numFmtId="0" fontId="5" fillId="5" borderId="23" xfId="0" applyFont="1" applyFill="1" applyBorder="1" applyAlignment="1" applyProtection="1">
      <alignment horizontal="center" vertical="center" shrinkToFit="1"/>
      <protection locked="0" hidden="1"/>
    </xf>
    <xf numFmtId="0" fontId="9" fillId="0" borderId="6" xfId="0" applyFont="1" applyBorder="1" applyAlignment="1" applyProtection="1">
      <alignment horizontal="center" vertical="center" wrapText="1" shrinkToFit="1"/>
      <protection hidden="1"/>
    </xf>
    <xf numFmtId="0" fontId="9" fillId="0" borderId="7" xfId="0" applyFont="1" applyBorder="1" applyAlignment="1" applyProtection="1">
      <alignment horizontal="center" vertical="center" wrapText="1" shrinkToFit="1"/>
      <protection hidden="1"/>
    </xf>
    <xf numFmtId="0" fontId="9" fillId="0" borderId="8" xfId="0" applyFont="1" applyBorder="1" applyAlignment="1" applyProtection="1">
      <alignment horizontal="center" vertical="center" wrapText="1" shrinkToFit="1"/>
      <protection hidden="1"/>
    </xf>
    <xf numFmtId="0" fontId="9" fillId="0" borderId="19" xfId="0" applyFont="1" applyBorder="1" applyAlignment="1" applyProtection="1">
      <alignment horizontal="center" vertical="center" wrapText="1" shrinkToFit="1"/>
      <protection hidden="1"/>
    </xf>
    <xf numFmtId="0" fontId="9" fillId="0" borderId="20" xfId="0" applyFont="1" applyBorder="1" applyAlignment="1" applyProtection="1">
      <alignment horizontal="center" vertical="center" wrapText="1" shrinkToFit="1"/>
      <protection hidden="1"/>
    </xf>
    <xf numFmtId="0" fontId="9" fillId="0" borderId="21" xfId="0" applyFont="1" applyBorder="1" applyAlignment="1" applyProtection="1">
      <alignment horizontal="center" vertical="center" wrapText="1" shrinkToFit="1"/>
      <protection hidden="1"/>
    </xf>
    <xf numFmtId="0" fontId="5" fillId="5" borderId="17" xfId="0" applyFont="1" applyFill="1" applyBorder="1" applyAlignment="1" applyProtection="1">
      <alignment horizontal="center" vertical="center" shrinkToFit="1"/>
      <protection locked="0" hidden="1"/>
    </xf>
    <xf numFmtId="0" fontId="5" fillId="5" borderId="14" xfId="0" applyFont="1" applyFill="1" applyBorder="1" applyAlignment="1" applyProtection="1">
      <alignment horizontal="center" vertical="center" shrinkToFit="1"/>
      <protection locked="0" hidden="1"/>
    </xf>
    <xf numFmtId="0" fontId="5" fillId="5" borderId="18" xfId="0" applyFont="1" applyFill="1" applyBorder="1" applyAlignment="1" applyProtection="1">
      <alignment horizontal="center" vertical="center" shrinkToFit="1"/>
      <protection locked="0" hidden="1"/>
    </xf>
    <xf numFmtId="0" fontId="5" fillId="5" borderId="22" xfId="0" applyFont="1" applyFill="1" applyBorder="1" applyAlignment="1" applyProtection="1">
      <alignment horizontal="center" vertical="center" shrinkToFit="1"/>
      <protection locked="0" hidden="1"/>
    </xf>
    <xf numFmtId="0" fontId="5" fillId="5" borderId="15" xfId="0" applyFont="1" applyFill="1" applyBorder="1" applyAlignment="1" applyProtection="1">
      <alignment horizontal="center" vertical="center" shrinkToFit="1"/>
      <protection locked="0" hidden="1"/>
    </xf>
    <xf numFmtId="0" fontId="5" fillId="0" borderId="17" xfId="0" applyFont="1" applyBorder="1" applyAlignment="1" applyProtection="1">
      <alignment horizontal="center" vertical="center" shrinkToFit="1"/>
      <protection locked="0" hidden="1"/>
    </xf>
    <xf numFmtId="0" fontId="5" fillId="0" borderId="14" xfId="0" applyFont="1" applyBorder="1" applyAlignment="1" applyProtection="1">
      <alignment horizontal="center" vertical="center" shrinkToFit="1"/>
      <protection locked="0" hidden="1"/>
    </xf>
    <xf numFmtId="0" fontId="11" fillId="5" borderId="1" xfId="0" applyFont="1" applyFill="1" applyBorder="1" applyAlignment="1" applyProtection="1">
      <alignment horizontal="center" vertical="center" wrapText="1" shrinkToFit="1"/>
      <protection locked="0" hidden="1"/>
    </xf>
    <xf numFmtId="0" fontId="11" fillId="5" borderId="5" xfId="0" applyFont="1" applyFill="1" applyBorder="1" applyAlignment="1" applyProtection="1">
      <alignment horizontal="center" vertical="center" wrapText="1" shrinkToFit="1"/>
      <protection locked="0" hidden="1"/>
    </xf>
    <xf numFmtId="0" fontId="10" fillId="5" borderId="1" xfId="0" applyFont="1" applyFill="1" applyBorder="1" applyAlignment="1" applyProtection="1">
      <alignment horizontal="center" vertical="center" wrapText="1" shrinkToFit="1"/>
      <protection locked="0" hidden="1"/>
    </xf>
    <xf numFmtId="0" fontId="10" fillId="5" borderId="12" xfId="0" applyFont="1" applyFill="1" applyBorder="1" applyAlignment="1" applyProtection="1">
      <alignment horizontal="center" vertical="center" wrapText="1" shrinkToFit="1"/>
      <protection locked="0" hidden="1"/>
    </xf>
    <xf numFmtId="0" fontId="10" fillId="5" borderId="5" xfId="0" applyFont="1" applyFill="1" applyBorder="1" applyAlignment="1" applyProtection="1">
      <alignment horizontal="center" vertical="center" wrapText="1" shrinkToFit="1"/>
      <protection locked="0" hidden="1"/>
    </xf>
    <xf numFmtId="0" fontId="5" fillId="0" borderId="18" xfId="0" applyFont="1" applyBorder="1" applyAlignment="1" applyProtection="1">
      <alignment horizontal="center" vertical="center" shrinkToFit="1"/>
      <protection locked="0" hidden="1"/>
    </xf>
    <xf numFmtId="0" fontId="5" fillId="0" borderId="15" xfId="0" applyFont="1" applyBorder="1" applyAlignment="1" applyProtection="1">
      <alignment horizontal="center" vertical="center" shrinkToFit="1"/>
      <protection locked="0" hidden="1"/>
    </xf>
    <xf numFmtId="0" fontId="12" fillId="9" borderId="1" xfId="0" applyFont="1" applyFill="1" applyBorder="1" applyAlignment="1">
      <alignment horizontal="center" vertical="center" textRotation="90"/>
    </xf>
    <xf numFmtId="0" fontId="12" fillId="9" borderId="5" xfId="0" applyFont="1" applyFill="1" applyBorder="1" applyAlignment="1">
      <alignment horizontal="center" vertical="center" textRotation="90"/>
    </xf>
    <xf numFmtId="0" fontId="12" fillId="9" borderId="12" xfId="0" applyFont="1" applyFill="1" applyBorder="1" applyAlignment="1">
      <alignment horizontal="center" vertical="center" textRotation="90"/>
    </xf>
    <xf numFmtId="0" fontId="10" fillId="7" borderId="1" xfId="0" applyFont="1" applyFill="1" applyBorder="1" applyAlignment="1" applyProtection="1">
      <alignment horizontal="center" vertical="center" wrapText="1" shrinkToFit="1"/>
      <protection locked="0" hidden="1"/>
    </xf>
    <xf numFmtId="0" fontId="10" fillId="7" borderId="5" xfId="0" applyFont="1" applyFill="1" applyBorder="1" applyAlignment="1" applyProtection="1">
      <alignment horizontal="center" vertical="center" wrapText="1" shrinkToFit="1"/>
      <protection locked="0" hidden="1"/>
    </xf>
    <xf numFmtId="0" fontId="10" fillId="0" borderId="1" xfId="0" applyFont="1" applyBorder="1" applyAlignment="1" applyProtection="1">
      <alignment horizontal="center" vertical="center" wrapText="1" shrinkToFit="1"/>
      <protection locked="0" hidden="1"/>
    </xf>
    <xf numFmtId="0" fontId="10" fillId="0" borderId="12" xfId="0" applyFont="1" applyBorder="1" applyAlignment="1" applyProtection="1">
      <alignment horizontal="center" vertical="center" wrapText="1" shrinkToFit="1"/>
      <protection locked="0" hidden="1"/>
    </xf>
    <xf numFmtId="0" fontId="11" fillId="7" borderId="1" xfId="0" applyFont="1" applyFill="1" applyBorder="1" applyAlignment="1" applyProtection="1">
      <alignment horizontal="center" vertical="center" wrapText="1" shrinkToFit="1"/>
      <protection locked="0" hidden="1"/>
    </xf>
    <xf numFmtId="0" fontId="11" fillId="7" borderId="5" xfId="0" applyFont="1" applyFill="1" applyBorder="1" applyAlignment="1" applyProtection="1">
      <alignment horizontal="center" vertical="center" wrapText="1" shrinkToFit="1"/>
      <protection locked="0" hidden="1"/>
    </xf>
    <xf numFmtId="0" fontId="12" fillId="10" borderId="1" xfId="0" applyFont="1" applyFill="1" applyBorder="1" applyAlignment="1">
      <alignment horizontal="center" vertical="center" textRotation="90"/>
    </xf>
    <xf numFmtId="0" fontId="12" fillId="10" borderId="5" xfId="0" applyFont="1" applyFill="1" applyBorder="1" applyAlignment="1">
      <alignment horizontal="center" vertical="center" textRotation="90"/>
    </xf>
    <xf numFmtId="0" fontId="12" fillId="10" borderId="12" xfId="0" applyFont="1" applyFill="1" applyBorder="1" applyAlignment="1">
      <alignment horizontal="center" vertical="center" textRotation="90"/>
    </xf>
    <xf numFmtId="0" fontId="4" fillId="5" borderId="17" xfId="0" applyFont="1" applyFill="1" applyBorder="1" applyAlignment="1" applyProtection="1">
      <alignment horizontal="center" vertical="center" shrinkToFit="1"/>
      <protection locked="0" hidden="1"/>
    </xf>
    <xf numFmtId="0" fontId="4" fillId="5" borderId="14" xfId="0" applyFont="1" applyFill="1" applyBorder="1" applyAlignment="1" applyProtection="1">
      <alignment horizontal="center" vertical="center" shrinkToFit="1"/>
      <protection locked="0" hidden="1"/>
    </xf>
    <xf numFmtId="0" fontId="4" fillId="0" borderId="17" xfId="0" applyFont="1" applyBorder="1" applyAlignment="1" applyProtection="1">
      <alignment horizontal="center" vertical="center" shrinkToFit="1"/>
      <protection locked="0" hidden="1"/>
    </xf>
    <xf numFmtId="0" fontId="4" fillId="0" borderId="14" xfId="0" applyFont="1" applyBorder="1" applyAlignment="1" applyProtection="1">
      <alignment horizontal="center" vertical="center" shrinkToFit="1"/>
      <protection locked="0" hidden="1"/>
    </xf>
    <xf numFmtId="0" fontId="11" fillId="5" borderId="12" xfId="0" applyFont="1" applyFill="1" applyBorder="1" applyAlignment="1" applyProtection="1">
      <alignment horizontal="center" vertical="center" wrapText="1" shrinkToFit="1"/>
      <protection locked="0" hidden="1"/>
    </xf>
    <xf numFmtId="0" fontId="11" fillId="0" borderId="1" xfId="0" applyFont="1" applyBorder="1" applyAlignment="1" applyProtection="1">
      <alignment horizontal="center" vertical="center" wrapText="1" shrinkToFit="1"/>
      <protection locked="0" hidden="1"/>
    </xf>
    <xf numFmtId="0" fontId="11" fillId="0" borderId="12" xfId="0" applyFont="1" applyBorder="1" applyAlignment="1" applyProtection="1">
      <alignment horizontal="center" vertical="center" wrapText="1" shrinkToFit="1"/>
      <protection locked="0" hidden="1"/>
    </xf>
    <xf numFmtId="0" fontId="4" fillId="5" borderId="29" xfId="0" applyFont="1" applyFill="1" applyBorder="1" applyAlignment="1" applyProtection="1">
      <alignment horizontal="center" vertical="center" shrinkToFit="1"/>
      <protection locked="0" hidden="1"/>
    </xf>
    <xf numFmtId="0" fontId="1" fillId="2" borderId="6" xfId="0" applyFont="1" applyFill="1" applyBorder="1" applyAlignment="1">
      <alignment horizontal="center" vertical="center" wrapText="1" shrinkToFit="1"/>
    </xf>
    <xf numFmtId="0" fontId="1" fillId="2" borderId="7" xfId="0" applyFont="1" applyFill="1" applyBorder="1" applyAlignment="1">
      <alignment horizontal="center" vertical="center" wrapText="1" shrinkToFit="1"/>
    </xf>
    <xf numFmtId="0" fontId="1" fillId="2" borderId="24" xfId="0" applyFont="1" applyFill="1" applyBorder="1" applyAlignment="1">
      <alignment horizontal="center" vertical="center" wrapText="1" shrinkToFit="1"/>
    </xf>
    <xf numFmtId="0" fontId="1" fillId="2" borderId="25" xfId="0" applyFont="1" applyFill="1" applyBorder="1" applyAlignment="1">
      <alignment horizontal="center" vertical="center" wrapText="1" shrinkToFit="1"/>
    </xf>
    <xf numFmtId="0" fontId="19" fillId="3" borderId="30" xfId="0" applyFont="1" applyFill="1" applyBorder="1" applyAlignment="1">
      <alignment horizontal="center" vertical="center" shrinkToFit="1"/>
    </xf>
    <xf numFmtId="16" fontId="25" fillId="7" borderId="30" xfId="0" applyNumberFormat="1" applyFont="1" applyFill="1" applyBorder="1" applyAlignment="1" applyProtection="1">
      <alignment horizontal="center" vertical="center" shrinkToFit="1"/>
      <protection locked="0"/>
    </xf>
    <xf numFmtId="0" fontId="25" fillId="7" borderId="30" xfId="0" applyFont="1" applyFill="1" applyBorder="1" applyAlignment="1" applyProtection="1">
      <alignment horizontal="center" vertical="center" shrinkToFit="1"/>
      <protection locked="0"/>
    </xf>
    <xf numFmtId="0" fontId="15" fillId="12" borderId="47" xfId="0" applyFont="1" applyFill="1" applyBorder="1" applyAlignment="1" applyProtection="1">
      <alignment horizontal="center" vertical="center" wrapText="1"/>
      <protection locked="0"/>
    </xf>
    <xf numFmtId="0" fontId="15" fillId="12" borderId="48" xfId="0" applyFont="1" applyFill="1" applyBorder="1" applyAlignment="1" applyProtection="1">
      <alignment horizontal="center" vertical="center" wrapText="1"/>
      <protection locked="0"/>
    </xf>
    <xf numFmtId="0" fontId="2" fillId="3" borderId="24" xfId="0" applyFont="1" applyFill="1" applyBorder="1" applyAlignment="1">
      <alignment horizontal="center" vertical="center" shrinkToFit="1"/>
    </xf>
    <xf numFmtId="0" fontId="2" fillId="3" borderId="25" xfId="0" applyFont="1" applyFill="1" applyBorder="1" applyAlignment="1">
      <alignment horizontal="center" vertical="center" shrinkToFit="1"/>
    </xf>
    <xf numFmtId="0" fontId="2" fillId="3" borderId="26" xfId="0" applyFont="1" applyFill="1" applyBorder="1" applyAlignment="1">
      <alignment horizontal="center" vertical="center" shrinkToFit="1"/>
    </xf>
    <xf numFmtId="0" fontId="2" fillId="3" borderId="6" xfId="0" applyFont="1" applyFill="1" applyBorder="1" applyAlignment="1" applyProtection="1">
      <alignment horizontal="center" vertical="center" shrinkToFit="1"/>
      <protection locked="0"/>
    </xf>
    <xf numFmtId="0" fontId="2" fillId="3" borderId="7" xfId="0" applyFont="1" applyFill="1" applyBorder="1" applyAlignment="1" applyProtection="1">
      <alignment horizontal="center" vertical="center" shrinkToFit="1"/>
      <protection locked="0"/>
    </xf>
    <xf numFmtId="0" fontId="2" fillId="3" borderId="0" xfId="0" applyFont="1" applyFill="1" applyAlignment="1" applyProtection="1">
      <alignment horizontal="center" vertical="center" shrinkToFit="1"/>
      <protection locked="0"/>
    </xf>
    <xf numFmtId="0" fontId="3" fillId="4" borderId="31" xfId="0" applyFont="1" applyFill="1" applyBorder="1" applyAlignment="1" applyProtection="1">
      <alignment horizontal="center" vertical="center" shrinkToFit="1"/>
      <protection locked="0"/>
    </xf>
    <xf numFmtId="0" fontId="3" fillId="4" borderId="35" xfId="0" applyFont="1" applyFill="1" applyBorder="1" applyAlignment="1" applyProtection="1">
      <alignment horizontal="center" vertical="center" shrinkToFit="1"/>
      <protection locked="0"/>
    </xf>
    <xf numFmtId="0" fontId="3" fillId="4" borderId="0" xfId="0" applyFont="1" applyFill="1" applyAlignment="1" applyProtection="1">
      <alignment horizontal="center" vertical="center" shrinkToFit="1"/>
      <protection locked="0"/>
    </xf>
    <xf numFmtId="0" fontId="0" fillId="0" borderId="34" xfId="0" applyBorder="1" applyAlignment="1" applyProtection="1">
      <alignment horizontal="center" vertical="center"/>
      <protection locked="0"/>
    </xf>
    <xf numFmtId="0" fontId="0" fillId="0" borderId="43" xfId="0" applyBorder="1" applyAlignment="1" applyProtection="1">
      <alignment horizontal="center" vertical="center"/>
      <protection locked="0"/>
    </xf>
    <xf numFmtId="0" fontId="0" fillId="0" borderId="42" xfId="0" applyBorder="1" applyAlignment="1" applyProtection="1">
      <alignment horizontal="center" vertical="center"/>
      <protection locked="0"/>
    </xf>
    <xf numFmtId="0" fontId="2" fillId="4" borderId="2" xfId="0" applyFont="1" applyFill="1" applyBorder="1" applyAlignment="1">
      <alignment horizontal="center" vertical="center" shrinkToFit="1"/>
    </xf>
    <xf numFmtId="0" fontId="2" fillId="4" borderId="50" xfId="0" applyFont="1" applyFill="1" applyBorder="1" applyAlignment="1">
      <alignment horizontal="center" vertical="center" shrinkToFit="1"/>
    </xf>
    <xf numFmtId="0" fontId="3" fillId="4" borderId="51" xfId="0" applyFont="1" applyFill="1" applyBorder="1" applyAlignment="1">
      <alignment horizontal="center" vertical="center" shrinkToFit="1"/>
    </xf>
    <xf numFmtId="0" fontId="3" fillId="4" borderId="4" xfId="0" applyFont="1" applyFill="1" applyBorder="1" applyAlignment="1">
      <alignment horizontal="center" vertical="center" shrinkToFit="1"/>
    </xf>
    <xf numFmtId="0" fontId="18" fillId="0" borderId="32" xfId="0" applyFont="1" applyBorder="1" applyAlignment="1">
      <alignment horizontal="center" vertical="center" shrinkToFit="1"/>
    </xf>
    <xf numFmtId="0" fontId="18" fillId="0" borderId="33" xfId="0" applyFont="1" applyBorder="1" applyAlignment="1">
      <alignment horizontal="center" vertical="center" shrinkToFit="1"/>
    </xf>
    <xf numFmtId="0" fontId="18" fillId="0" borderId="2" xfId="0" applyFont="1" applyBorder="1" applyAlignment="1">
      <alignment horizontal="center" vertical="center" shrinkToFit="1"/>
    </xf>
    <xf numFmtId="0" fontId="18" fillId="0" borderId="4" xfId="0" applyFont="1" applyBorder="1" applyAlignment="1">
      <alignment horizontal="center" vertical="center" shrinkToFit="1"/>
    </xf>
    <xf numFmtId="0" fontId="11" fillId="11" borderId="24" xfId="0" applyFont="1" applyFill="1" applyBorder="1" applyAlignment="1" applyProtection="1">
      <alignment horizontal="center" vertical="center" shrinkToFit="1"/>
      <protection locked="0"/>
    </xf>
    <xf numFmtId="0" fontId="11" fillId="11" borderId="26" xfId="0" applyFont="1" applyFill="1" applyBorder="1" applyAlignment="1" applyProtection="1">
      <alignment horizontal="center" vertical="center" shrinkToFit="1"/>
      <protection locked="0"/>
    </xf>
    <xf numFmtId="0" fontId="16" fillId="14" borderId="1" xfId="0" applyFont="1" applyFill="1" applyBorder="1" applyAlignment="1">
      <alignment horizontal="center" vertical="center" wrapText="1"/>
    </xf>
    <xf numFmtId="0" fontId="16" fillId="14" borderId="12" xfId="0" applyFont="1" applyFill="1" applyBorder="1" applyAlignment="1">
      <alignment horizontal="center" vertical="center" wrapText="1"/>
    </xf>
    <xf numFmtId="0" fontId="4" fillId="6" borderId="24" xfId="0" applyFont="1" applyFill="1" applyBorder="1" applyAlignment="1" applyProtection="1">
      <alignment horizontal="center" shrinkToFit="1"/>
      <protection hidden="1"/>
    </xf>
    <xf numFmtId="0" fontId="4" fillId="6" borderId="25" xfId="0" applyFont="1" applyFill="1" applyBorder="1" applyAlignment="1" applyProtection="1">
      <alignment horizontal="center" shrinkToFit="1"/>
      <protection hidden="1"/>
    </xf>
    <xf numFmtId="0" fontId="15" fillId="14" borderId="1" xfId="0" applyFont="1" applyFill="1" applyBorder="1" applyAlignment="1">
      <alignment horizontal="center" vertical="center" wrapText="1"/>
    </xf>
    <xf numFmtId="0" fontId="15" fillId="14" borderId="12" xfId="0" applyFont="1" applyFill="1" applyBorder="1" applyAlignment="1">
      <alignment horizontal="center" vertical="center" wrapText="1"/>
    </xf>
    <xf numFmtId="0" fontId="21" fillId="13" borderId="1" xfId="0" applyFont="1" applyFill="1" applyBorder="1" applyAlignment="1">
      <alignment horizontal="center" vertical="center" textRotation="90" wrapText="1"/>
    </xf>
    <xf numFmtId="0" fontId="20" fillId="13" borderId="5" xfId="0" applyFont="1" applyFill="1" applyBorder="1" applyAlignment="1">
      <alignment horizontal="center" vertical="center" textRotation="90" wrapText="1"/>
    </xf>
    <xf numFmtId="0" fontId="20" fillId="13" borderId="12" xfId="0" applyFont="1" applyFill="1" applyBorder="1" applyAlignment="1">
      <alignment horizontal="center" vertical="center" textRotation="90" wrapText="1"/>
    </xf>
    <xf numFmtId="0" fontId="0" fillId="0" borderId="34" xfId="0" applyBorder="1" applyAlignment="1" applyProtection="1">
      <alignment horizontal="center" vertical="center" shrinkToFit="1"/>
      <protection locked="0" hidden="1"/>
    </xf>
    <xf numFmtId="0" fontId="0" fillId="0" borderId="56" xfId="0" applyBorder="1" applyAlignment="1" applyProtection="1">
      <alignment horizontal="center" vertical="center" shrinkToFit="1"/>
      <protection locked="0" hidden="1"/>
    </xf>
    <xf numFmtId="0" fontId="4" fillId="6" borderId="52" xfId="0" applyFont="1" applyFill="1" applyBorder="1" applyAlignment="1" applyProtection="1">
      <alignment horizontal="center" shrinkToFit="1"/>
      <protection hidden="1"/>
    </xf>
    <xf numFmtId="0" fontId="4" fillId="6" borderId="53" xfId="0" applyFont="1" applyFill="1" applyBorder="1" applyAlignment="1" applyProtection="1">
      <alignment horizontal="center" shrinkToFit="1"/>
      <protection hidden="1"/>
    </xf>
    <xf numFmtId="0" fontId="4" fillId="6" borderId="54" xfId="0" applyFont="1" applyFill="1" applyBorder="1" applyAlignment="1" applyProtection="1">
      <alignment horizontal="center" shrinkToFit="1"/>
      <protection hidden="1"/>
    </xf>
    <xf numFmtId="0" fontId="4" fillId="6" borderId="2" xfId="0" applyFont="1" applyFill="1" applyBorder="1" applyAlignment="1" applyProtection="1">
      <alignment horizontal="center" shrinkToFit="1"/>
      <protection hidden="1"/>
    </xf>
    <xf numFmtId="0" fontId="4" fillId="6" borderId="3" xfId="0" applyFont="1" applyFill="1" applyBorder="1" applyAlignment="1" applyProtection="1">
      <alignment horizontal="center" shrinkToFit="1"/>
      <protection hidden="1"/>
    </xf>
    <xf numFmtId="0" fontId="4" fillId="6" borderId="4" xfId="0" applyFont="1" applyFill="1" applyBorder="1" applyAlignment="1" applyProtection="1">
      <alignment horizontal="center" shrinkToFit="1"/>
      <protection hidden="1"/>
    </xf>
    <xf numFmtId="0" fontId="8" fillId="4" borderId="0" xfId="0" applyFont="1" applyFill="1" applyAlignment="1" applyProtection="1">
      <alignment horizontal="center" vertical="center" shrinkToFit="1"/>
      <protection locked="0"/>
    </xf>
    <xf numFmtId="0" fontId="8" fillId="4" borderId="24" xfId="0" applyFont="1" applyFill="1" applyBorder="1" applyAlignment="1" applyProtection="1">
      <alignment horizontal="center" vertical="center" shrinkToFit="1"/>
      <protection locked="0"/>
    </xf>
    <xf numFmtId="0" fontId="8" fillId="4" borderId="25" xfId="0" applyFont="1" applyFill="1" applyBorder="1" applyAlignment="1" applyProtection="1">
      <alignment horizontal="center" vertical="center" shrinkToFit="1"/>
      <protection locked="0"/>
    </xf>
    <xf numFmtId="0" fontId="16" fillId="0" borderId="6" xfId="0" applyFont="1" applyBorder="1" applyAlignment="1" applyProtection="1">
      <alignment wrapText="1" shrinkToFit="1"/>
      <protection hidden="1"/>
    </xf>
    <xf numFmtId="0" fontId="16" fillId="0" borderId="8" xfId="0" applyFont="1" applyBorder="1" applyAlignment="1" applyProtection="1">
      <alignment wrapText="1" shrinkToFit="1"/>
      <protection hidden="1"/>
    </xf>
    <xf numFmtId="0" fontId="16" fillId="0" borderId="24" xfId="0" applyFont="1" applyBorder="1" applyAlignment="1" applyProtection="1">
      <alignment wrapText="1" shrinkToFit="1"/>
      <protection hidden="1"/>
    </xf>
    <xf numFmtId="0" fontId="16" fillId="0" borderId="26" xfId="0" applyFont="1" applyBorder="1" applyAlignment="1" applyProtection="1">
      <alignment wrapText="1" shrinkToFit="1"/>
      <protection hidden="1"/>
    </xf>
    <xf numFmtId="0" fontId="6" fillId="2" borderId="2" xfId="0" applyFont="1" applyFill="1" applyBorder="1" applyAlignment="1">
      <alignment horizontal="center" vertical="center" shrinkToFit="1"/>
    </xf>
    <xf numFmtId="0" fontId="6" fillId="2" borderId="3" xfId="0" applyFont="1" applyFill="1" applyBorder="1" applyAlignment="1">
      <alignment horizontal="center" vertical="center" shrinkToFit="1"/>
    </xf>
    <xf numFmtId="0" fontId="18" fillId="0" borderId="58" xfId="0" applyFont="1" applyBorder="1" applyAlignment="1">
      <alignment horizontal="center" vertical="center" shrinkToFit="1"/>
    </xf>
    <xf numFmtId="0" fontId="18" fillId="0" borderId="59" xfId="0" applyFont="1" applyBorder="1" applyAlignment="1">
      <alignment horizontal="center" vertical="center" shrinkToFit="1"/>
    </xf>
    <xf numFmtId="0" fontId="12" fillId="8" borderId="1" xfId="0" applyFont="1" applyFill="1" applyBorder="1" applyAlignment="1">
      <alignment horizontal="center" vertical="center" textRotation="90"/>
    </xf>
    <xf numFmtId="0" fontId="12" fillId="8" borderId="5" xfId="0" applyFont="1" applyFill="1" applyBorder="1" applyAlignment="1">
      <alignment horizontal="center" vertical="center" textRotation="90"/>
    </xf>
    <xf numFmtId="0" fontId="12" fillId="8" borderId="12" xfId="0" applyFont="1" applyFill="1" applyBorder="1" applyAlignment="1">
      <alignment horizontal="center" vertical="center" textRotation="90"/>
    </xf>
    <xf numFmtId="0" fontId="5" fillId="7" borderId="17" xfId="0" applyFont="1" applyFill="1" applyBorder="1" applyAlignment="1" applyProtection="1">
      <alignment horizontal="center" vertical="center" shrinkToFit="1"/>
      <protection locked="0" hidden="1"/>
    </xf>
    <xf numFmtId="0" fontId="5" fillId="7" borderId="14" xfId="0" applyFont="1" applyFill="1" applyBorder="1" applyAlignment="1" applyProtection="1">
      <alignment horizontal="center" vertical="center" shrinkToFit="1"/>
      <protection locked="0" hidden="1"/>
    </xf>
    <xf numFmtId="0" fontId="5" fillId="0" borderId="22" xfId="0" applyFont="1" applyBorder="1" applyAlignment="1" applyProtection="1">
      <alignment horizontal="center" vertical="center" shrinkToFit="1"/>
      <protection locked="0" hidden="1"/>
    </xf>
    <xf numFmtId="0" fontId="11" fillId="0" borderId="5" xfId="0" applyFont="1" applyBorder="1" applyAlignment="1" applyProtection="1">
      <alignment horizontal="center" vertical="center" wrapText="1" shrinkToFit="1"/>
      <protection locked="0" hidden="1"/>
    </xf>
  </cellXfs>
  <cellStyles count="1">
    <cellStyle name="Normal" xfId="0" builtinId="0"/>
  </cellStyles>
  <dxfs count="0"/>
  <tableStyles count="0" defaultTableStyle="TableStyleMedium2" defaultPivotStyle="PivotStyleLight16"/>
  <colors>
    <mruColors>
      <color rgb="FFA8FFFF"/>
      <color rgb="FFFFD1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8C313-FF81-6949-9406-9BB978CB769B}">
  <sheetPr>
    <pageSetUpPr fitToPage="1"/>
  </sheetPr>
  <dimension ref="A1:L46"/>
  <sheetViews>
    <sheetView tabSelected="1" topLeftCell="A16" zoomScale="143" zoomScaleNormal="90" workbookViewId="0">
      <selection activeCell="G31" sqref="G31:G32"/>
    </sheetView>
  </sheetViews>
  <sheetFormatPr defaultColWidth="10.875" defaultRowHeight="15.75"/>
  <cols>
    <col min="2" max="2" width="9.125" customWidth="1"/>
    <col min="3" max="3" width="5.5" customWidth="1"/>
    <col min="5" max="6" width="10.875" style="22"/>
    <col min="7" max="7" width="12.625" style="22" bestFit="1" customWidth="1"/>
    <col min="8" max="8" width="11" customWidth="1"/>
    <col min="9" max="9" width="15.875" customWidth="1"/>
    <col min="10" max="10" width="19" customWidth="1"/>
    <col min="11" max="11" width="2.375" customWidth="1"/>
    <col min="12" max="12" width="48.125" style="43" customWidth="1"/>
  </cols>
  <sheetData>
    <row r="1" spans="1:12" ht="9.9499999999999993" customHeight="1">
      <c r="B1" s="126" t="s">
        <v>131</v>
      </c>
      <c r="C1" s="127"/>
      <c r="D1" s="132" t="s">
        <v>241</v>
      </c>
      <c r="E1" s="132"/>
      <c r="F1" s="132"/>
      <c r="G1" s="132"/>
      <c r="H1" s="132"/>
      <c r="I1" s="130" t="s">
        <v>210</v>
      </c>
      <c r="J1" s="131">
        <v>45313</v>
      </c>
    </row>
    <row r="2" spans="1:12" ht="9.9499999999999993" customHeight="1" thickBot="1">
      <c r="B2" s="128"/>
      <c r="C2" s="129"/>
      <c r="D2" s="132"/>
      <c r="E2" s="132"/>
      <c r="F2" s="132"/>
      <c r="G2" s="132"/>
      <c r="H2" s="132"/>
      <c r="I2" s="130"/>
      <c r="J2" s="132"/>
    </row>
    <row r="3" spans="1:12" ht="16.5" thickBot="1">
      <c r="B3" s="138" t="s">
        <v>0</v>
      </c>
      <c r="C3" s="139"/>
      <c r="D3" s="140"/>
      <c r="E3" s="140"/>
      <c r="F3" s="140"/>
      <c r="G3" s="140"/>
      <c r="H3" s="140"/>
      <c r="I3" s="140"/>
      <c r="J3" s="140"/>
      <c r="L3" s="44" t="s">
        <v>238</v>
      </c>
    </row>
    <row r="4" spans="1:12" s="15" customFormat="1" ht="16.5" thickBot="1">
      <c r="B4" s="78" t="s">
        <v>227</v>
      </c>
      <c r="C4" s="79"/>
      <c r="D4" s="29" t="s">
        <v>148</v>
      </c>
      <c r="E4" s="30" t="s">
        <v>149</v>
      </c>
      <c r="F4" s="30" t="s">
        <v>151</v>
      </c>
      <c r="G4" s="30" t="s">
        <v>150</v>
      </c>
      <c r="H4" s="31" t="s">
        <v>156</v>
      </c>
      <c r="I4" s="78" t="s">
        <v>6</v>
      </c>
      <c r="J4" s="79"/>
      <c r="L4" s="46" t="s">
        <v>239</v>
      </c>
    </row>
    <row r="5" spans="1:12" ht="26.1" customHeight="1">
      <c r="A5" s="157" t="s">
        <v>138</v>
      </c>
      <c r="B5" s="141" t="s">
        <v>143</v>
      </c>
      <c r="C5" s="142"/>
      <c r="D5" s="144" t="s">
        <v>197</v>
      </c>
      <c r="E5" s="32" t="s">
        <v>157</v>
      </c>
      <c r="F5" s="32">
        <v>2</v>
      </c>
      <c r="G5" s="32" t="s">
        <v>164</v>
      </c>
      <c r="H5" s="33" t="s">
        <v>201</v>
      </c>
      <c r="I5" s="74" t="str">
        <f>IFERROR(VLOOKUP(B5,Sheet2!N2:O5,2,0),"")</f>
        <v xml:space="preserve">Set seat to proper height, sit tall and face forwards, pedal without rocking from side-to-side, maintain 70-90 RPM, keep upper body relaxed </v>
      </c>
      <c r="J5" s="75"/>
      <c r="L5" s="47" t="s">
        <v>240</v>
      </c>
    </row>
    <row r="6" spans="1:12" ht="26.1" customHeight="1" thickBot="1">
      <c r="A6" s="158"/>
      <c r="B6" s="141"/>
      <c r="C6" s="142"/>
      <c r="D6" s="145"/>
      <c r="E6" s="34" t="s">
        <v>158</v>
      </c>
      <c r="F6" s="34">
        <v>3</v>
      </c>
      <c r="G6" s="32" t="s">
        <v>166</v>
      </c>
      <c r="H6" s="33" t="s">
        <v>203</v>
      </c>
      <c r="I6" s="76"/>
      <c r="J6" s="77"/>
      <c r="L6" s="45" t="s">
        <v>231</v>
      </c>
    </row>
    <row r="7" spans="1:12" ht="18.95" customHeight="1" thickBot="1">
      <c r="A7" s="17"/>
      <c r="B7" s="147" t="s">
        <v>217</v>
      </c>
      <c r="C7" s="148"/>
      <c r="D7" s="18" t="s">
        <v>219</v>
      </c>
      <c r="E7" s="18" t="s">
        <v>226</v>
      </c>
      <c r="F7" s="18" t="s">
        <v>219</v>
      </c>
      <c r="G7" s="18" t="s">
        <v>218</v>
      </c>
      <c r="H7" s="18" t="s">
        <v>219</v>
      </c>
      <c r="I7" s="149"/>
      <c r="J7" s="150"/>
      <c r="L7" s="48" t="s">
        <v>233</v>
      </c>
    </row>
    <row r="8" spans="1:12" ht="26.1" customHeight="1" thickBot="1">
      <c r="A8" s="19" t="s">
        <v>209</v>
      </c>
      <c r="B8" s="155" t="s">
        <v>212</v>
      </c>
      <c r="C8" s="156"/>
      <c r="D8" s="35" t="s">
        <v>221</v>
      </c>
      <c r="E8" s="42" t="s">
        <v>215</v>
      </c>
      <c r="F8" s="36" t="s">
        <v>221</v>
      </c>
      <c r="G8" s="42" t="s">
        <v>213</v>
      </c>
      <c r="H8" s="37" t="s">
        <v>223</v>
      </c>
      <c r="I8" s="133"/>
      <c r="J8" s="134"/>
      <c r="L8" s="48" t="s">
        <v>232</v>
      </c>
    </row>
    <row r="9" spans="1:12" ht="21.95" customHeight="1" thickBot="1">
      <c r="A9" s="20"/>
      <c r="B9" s="151" t="s">
        <v>228</v>
      </c>
      <c r="C9" s="152"/>
      <c r="D9" s="16" t="s">
        <v>148</v>
      </c>
      <c r="E9" s="16" t="s">
        <v>149</v>
      </c>
      <c r="F9" s="16" t="s">
        <v>151</v>
      </c>
      <c r="G9" s="16" t="s">
        <v>150</v>
      </c>
      <c r="H9" s="27" t="s">
        <v>156</v>
      </c>
      <c r="I9" s="153" t="s">
        <v>6</v>
      </c>
      <c r="J9" s="154"/>
      <c r="L9" s="45" t="s">
        <v>234</v>
      </c>
    </row>
    <row r="10" spans="1:12" ht="27" customHeight="1">
      <c r="A10" s="163" t="s">
        <v>139</v>
      </c>
      <c r="B10" s="143" t="s">
        <v>142</v>
      </c>
      <c r="C10" s="142"/>
      <c r="D10" s="144" t="s">
        <v>225</v>
      </c>
      <c r="E10" s="32" t="s">
        <v>157</v>
      </c>
      <c r="F10" s="32">
        <v>2</v>
      </c>
      <c r="G10" s="32" t="s">
        <v>164</v>
      </c>
      <c r="H10" s="33" t="s">
        <v>201</v>
      </c>
      <c r="I10" s="70" t="str">
        <f>IFERROR(VLOOKUP(B10,Sheet2!N2:O5,2,0),"")</f>
        <v xml:space="preserve">Place whole foot on footplates, keep torso upright, look straight ahead, keep shoulders down, do not rock from side to side  </v>
      </c>
      <c r="J10" s="71"/>
      <c r="L10" s="45" t="s">
        <v>235</v>
      </c>
    </row>
    <row r="11" spans="1:12" ht="27" customHeight="1">
      <c r="A11" s="164"/>
      <c r="B11" s="143"/>
      <c r="C11" s="142"/>
      <c r="D11" s="145"/>
      <c r="E11" s="32" t="s">
        <v>158</v>
      </c>
      <c r="F11" s="32">
        <v>4</v>
      </c>
      <c r="G11" s="32" t="s">
        <v>165</v>
      </c>
      <c r="H11" s="33" t="s">
        <v>204</v>
      </c>
      <c r="I11" s="70"/>
      <c r="J11" s="71"/>
      <c r="L11" s="48" t="s">
        <v>236</v>
      </c>
    </row>
    <row r="12" spans="1:12" ht="27" customHeight="1" thickBot="1">
      <c r="A12" s="164"/>
      <c r="B12" s="143"/>
      <c r="C12" s="142"/>
      <c r="D12" s="145"/>
      <c r="E12" s="32" t="s">
        <v>159</v>
      </c>
      <c r="F12" s="32">
        <v>4</v>
      </c>
      <c r="G12" s="32" t="s">
        <v>166</v>
      </c>
      <c r="H12" s="33" t="s">
        <v>205</v>
      </c>
      <c r="I12" s="70"/>
      <c r="J12" s="71"/>
      <c r="L12" s="49" t="s">
        <v>237</v>
      </c>
    </row>
    <row r="13" spans="1:12" ht="27" customHeight="1">
      <c r="A13" s="164"/>
      <c r="B13" s="143"/>
      <c r="C13" s="142"/>
      <c r="D13" s="145"/>
      <c r="E13" s="32" t="s">
        <v>160</v>
      </c>
      <c r="F13" s="32">
        <v>5</v>
      </c>
      <c r="G13" s="32" t="s">
        <v>166</v>
      </c>
      <c r="H13" s="33" t="s">
        <v>208</v>
      </c>
      <c r="I13" s="70"/>
      <c r="J13" s="71"/>
    </row>
    <row r="14" spans="1:12" ht="27" customHeight="1">
      <c r="A14" s="164"/>
      <c r="B14" s="143"/>
      <c r="C14" s="142"/>
      <c r="D14" s="145"/>
      <c r="E14" s="32" t="s">
        <v>26</v>
      </c>
      <c r="F14" s="32">
        <v>5</v>
      </c>
      <c r="G14" s="32" t="s">
        <v>167</v>
      </c>
      <c r="H14" s="33" t="s">
        <v>206</v>
      </c>
      <c r="I14" s="70"/>
      <c r="J14" s="71"/>
    </row>
    <row r="15" spans="1:12" ht="27" customHeight="1">
      <c r="A15" s="164"/>
      <c r="B15" s="143"/>
      <c r="C15" s="142"/>
      <c r="D15" s="145"/>
      <c r="E15" s="32" t="s">
        <v>27</v>
      </c>
      <c r="F15" s="32">
        <v>5</v>
      </c>
      <c r="G15" s="32" t="s">
        <v>166</v>
      </c>
      <c r="H15" s="33" t="s">
        <v>208</v>
      </c>
      <c r="I15" s="70"/>
      <c r="J15" s="71"/>
    </row>
    <row r="16" spans="1:12" ht="27" customHeight="1" thickBot="1">
      <c r="A16" s="165"/>
      <c r="B16" s="143"/>
      <c r="C16" s="142"/>
      <c r="D16" s="146"/>
      <c r="E16" s="32" t="s">
        <v>28</v>
      </c>
      <c r="F16" s="32">
        <v>4</v>
      </c>
      <c r="G16" s="32" t="s">
        <v>165</v>
      </c>
      <c r="H16" s="33" t="s">
        <v>204</v>
      </c>
      <c r="I16" s="72"/>
      <c r="J16" s="73"/>
    </row>
    <row r="17" spans="1:10" ht="26.1" customHeight="1" thickBot="1">
      <c r="B17" s="6" t="s">
        <v>132</v>
      </c>
      <c r="C17" s="9" t="s">
        <v>152</v>
      </c>
      <c r="D17" s="26" t="s">
        <v>2</v>
      </c>
      <c r="E17" s="26" t="s">
        <v>1</v>
      </c>
      <c r="F17" s="26" t="s">
        <v>3</v>
      </c>
      <c r="G17" s="26" t="s">
        <v>4</v>
      </c>
      <c r="H17" s="135" t="s">
        <v>6</v>
      </c>
      <c r="I17" s="136"/>
      <c r="J17" s="137"/>
    </row>
    <row r="18" spans="1:10">
      <c r="A18" s="185" t="s">
        <v>7</v>
      </c>
      <c r="B18" s="99" t="s">
        <v>11</v>
      </c>
      <c r="C18" s="99">
        <v>4</v>
      </c>
      <c r="D18" s="92" t="s">
        <v>26</v>
      </c>
      <c r="E18" s="94">
        <v>3</v>
      </c>
      <c r="F18" s="94" t="s">
        <v>41</v>
      </c>
      <c r="G18" s="80" t="s">
        <v>47</v>
      </c>
      <c r="H18" s="50" t="str">
        <f>IFERROR(VLOOKUP(B18,Sheet2!A2:B19,2,0),"")</f>
        <v>Keep torso vertical, pull shoulders down and back, look straight ahead, lead with  the elbows, keep wrists straight and pull handles towards the body</v>
      </c>
      <c r="I18" s="51"/>
      <c r="J18" s="52"/>
    </row>
    <row r="19" spans="1:10" ht="16.5" thickBot="1">
      <c r="A19" s="186"/>
      <c r="B19" s="100"/>
      <c r="C19" s="122"/>
      <c r="D19" s="93"/>
      <c r="E19" s="95"/>
      <c r="F19" s="95"/>
      <c r="G19" s="83"/>
      <c r="H19" s="53"/>
      <c r="I19" s="54"/>
      <c r="J19" s="55"/>
    </row>
    <row r="20" spans="1:10">
      <c r="A20" s="186"/>
      <c r="B20" s="123" t="s">
        <v>74</v>
      </c>
      <c r="C20" s="123">
        <v>10</v>
      </c>
      <c r="D20" s="97" t="s">
        <v>26</v>
      </c>
      <c r="E20" s="104">
        <v>3</v>
      </c>
      <c r="F20" s="104" t="s">
        <v>41</v>
      </c>
      <c r="G20" s="65" t="s">
        <v>47</v>
      </c>
      <c r="H20" s="86" t="str">
        <f>IFERROR(VLOOKUP(B20,Sheet2!A2:B19,2,0),"")</f>
        <v xml:space="preserve">Keep elbows tucked into the ribs, brace abs, keep chest up and shoulders down and back, do not lean forward, keep head up and look straight ahead, keep wrists straight </v>
      </c>
      <c r="I20" s="87"/>
      <c r="J20" s="88"/>
    </row>
    <row r="21" spans="1:10" ht="16.5" thickBot="1">
      <c r="A21" s="186"/>
      <c r="B21" s="191"/>
      <c r="C21" s="124"/>
      <c r="D21" s="98"/>
      <c r="E21" s="190"/>
      <c r="F21" s="190"/>
      <c r="G21" s="82"/>
      <c r="H21" s="89"/>
      <c r="I21" s="90"/>
      <c r="J21" s="91"/>
    </row>
    <row r="22" spans="1:10">
      <c r="A22" s="186"/>
      <c r="B22" s="99" t="s">
        <v>77</v>
      </c>
      <c r="C22" s="99">
        <v>11</v>
      </c>
      <c r="D22" s="92" t="s">
        <v>26</v>
      </c>
      <c r="E22" s="94">
        <v>3</v>
      </c>
      <c r="F22" s="94" t="s">
        <v>41</v>
      </c>
      <c r="G22" s="80" t="s">
        <v>47</v>
      </c>
      <c r="H22" s="50" t="str">
        <f>IFERROR(VLOOKUP(Sheet1!B22,Sheet2!A2:B19,2,0),"")</f>
        <v>Keep elbows tucked into sides, do not use legs or back to raise weight, keep wrists straight, keep core tightly braced, look forward and keep torso upright, extend arms fully at the bottom of each rep</v>
      </c>
      <c r="I22" s="51"/>
      <c r="J22" s="52"/>
    </row>
    <row r="23" spans="1:10" ht="16.5" thickBot="1">
      <c r="A23" s="186"/>
      <c r="B23" s="100"/>
      <c r="C23" s="122"/>
      <c r="D23" s="93"/>
      <c r="E23" s="95"/>
      <c r="F23" s="95"/>
      <c r="G23" s="83"/>
      <c r="H23" s="56"/>
      <c r="I23" s="57"/>
      <c r="J23" s="58"/>
    </row>
    <row r="24" spans="1:10">
      <c r="A24" s="186"/>
      <c r="B24" s="113" t="s">
        <v>133</v>
      </c>
      <c r="C24" s="123">
        <v>5</v>
      </c>
      <c r="D24" s="188" t="s">
        <v>26</v>
      </c>
      <c r="E24" s="104">
        <v>3</v>
      </c>
      <c r="F24" s="104" t="s">
        <v>41</v>
      </c>
      <c r="G24" s="65" t="s">
        <v>47</v>
      </c>
      <c r="H24" s="59" t="str">
        <f>IFERROR(VLOOKUP(Sheet1!B24,Sheet2!A2:B19,2,0),"")</f>
        <v xml:space="preserve">Place balls of feet on foot plate and shoulders under the pads. Brace core and stand with legs straight. Lower heels as far below the toes as flexibility permits and then push up and onto tiptoes </v>
      </c>
      <c r="I24" s="60"/>
      <c r="J24" s="61"/>
    </row>
    <row r="25" spans="1:10" ht="16.5" thickBot="1">
      <c r="A25" s="187"/>
      <c r="B25" s="114"/>
      <c r="C25" s="124"/>
      <c r="D25" s="189"/>
      <c r="E25" s="190"/>
      <c r="F25" s="190"/>
      <c r="G25" s="82"/>
      <c r="H25" s="62"/>
      <c r="I25" s="63"/>
      <c r="J25" s="64"/>
    </row>
    <row r="26" spans="1:10" ht="15.95" customHeight="1" thickBot="1">
      <c r="B26" s="23"/>
      <c r="C26" s="24"/>
      <c r="D26" s="25"/>
      <c r="E26" s="21"/>
      <c r="F26" s="5"/>
      <c r="G26" s="5"/>
      <c r="H26" s="168"/>
      <c r="I26" s="169"/>
      <c r="J26" s="170"/>
    </row>
    <row r="27" spans="1:10">
      <c r="A27" s="106" t="s">
        <v>8</v>
      </c>
      <c r="B27" s="101" t="s">
        <v>56</v>
      </c>
      <c r="C27" s="101">
        <v>2</v>
      </c>
      <c r="D27" s="92" t="s">
        <v>26</v>
      </c>
      <c r="E27" s="94">
        <v>3</v>
      </c>
      <c r="F27" s="94" t="s">
        <v>41</v>
      </c>
      <c r="G27" s="80" t="s">
        <v>47</v>
      </c>
      <c r="H27" s="50" t="str">
        <f>IFERROR(VLOOKUP(B27,Sheet2!C1:D19,2,0),"")</f>
        <v xml:space="preserve">Forearms vertical when the dumbbells are in contact with the chest, lower the dumbbells to gently touch the chest – no bouncing, keep wrists straight, brace core, keep feet flat on the floor, arch lower back slightly, grip bar tightly </v>
      </c>
      <c r="I27" s="51"/>
      <c r="J27" s="52"/>
    </row>
    <row r="28" spans="1:10" ht="16.5" thickBot="1">
      <c r="A28" s="107"/>
      <c r="B28" s="103"/>
      <c r="C28" s="102"/>
      <c r="D28" s="93"/>
      <c r="E28" s="96"/>
      <c r="F28" s="96"/>
      <c r="G28" s="81"/>
      <c r="H28" s="56"/>
      <c r="I28" s="57"/>
      <c r="J28" s="58"/>
    </row>
    <row r="29" spans="1:10">
      <c r="A29" s="107"/>
      <c r="B29" s="109" t="s">
        <v>91</v>
      </c>
      <c r="C29" s="111">
        <v>6</v>
      </c>
      <c r="D29" s="97" t="s">
        <v>26</v>
      </c>
      <c r="E29" s="104">
        <v>3</v>
      </c>
      <c r="F29" s="104" t="s">
        <v>41</v>
      </c>
      <c r="G29" s="65" t="s">
        <v>47</v>
      </c>
      <c r="H29" s="59" t="str">
        <f>IFERROR(VLOOKUP(B29,Sheet2!C2:D19,2,0),"")</f>
        <v>Keep shoulders retracted and chest up, brace core, fully extend elbows but do not lock elbows, keep wrists straight, brace core especially if performed standing</v>
      </c>
      <c r="I29" s="60"/>
      <c r="J29" s="61"/>
    </row>
    <row r="30" spans="1:10" ht="16.5" thickBot="1">
      <c r="A30" s="107"/>
      <c r="B30" s="110"/>
      <c r="C30" s="112"/>
      <c r="D30" s="98"/>
      <c r="E30" s="105"/>
      <c r="F30" s="105"/>
      <c r="G30" s="66"/>
      <c r="H30" s="62"/>
      <c r="I30" s="63"/>
      <c r="J30" s="64"/>
    </row>
    <row r="31" spans="1:10">
      <c r="A31" s="107"/>
      <c r="B31" s="101" t="s">
        <v>94</v>
      </c>
      <c r="C31" s="101">
        <v>8</v>
      </c>
      <c r="D31" s="92" t="s">
        <v>26</v>
      </c>
      <c r="E31" s="94">
        <v>3</v>
      </c>
      <c r="F31" s="94" t="s">
        <v>41</v>
      </c>
      <c r="G31" s="80" t="s">
        <v>47</v>
      </c>
      <c r="H31" s="50" t="str">
        <f>IFERROR(VLOOKUP(B31,Sheet2!C2:D19,2,0),"")</f>
        <v xml:space="preserve">Keep elbows slightly bent, keep wrists straight, raise hands to shoulder level, lower weights to outside of the thighs, do not lean forward or backward </v>
      </c>
      <c r="I31" s="51"/>
      <c r="J31" s="52"/>
    </row>
    <row r="32" spans="1:10" ht="16.5" thickBot="1">
      <c r="A32" s="107"/>
      <c r="B32" s="103"/>
      <c r="C32" s="102"/>
      <c r="D32" s="93"/>
      <c r="E32" s="96"/>
      <c r="F32" s="96"/>
      <c r="G32" s="81"/>
      <c r="H32" s="56"/>
      <c r="I32" s="57"/>
      <c r="J32" s="58"/>
    </row>
    <row r="33" spans="1:11">
      <c r="A33" s="107"/>
      <c r="B33" s="109" t="s">
        <v>111</v>
      </c>
      <c r="C33" s="111">
        <v>3</v>
      </c>
      <c r="D33" s="97" t="s">
        <v>26</v>
      </c>
      <c r="E33" s="104">
        <v>3</v>
      </c>
      <c r="F33" s="104" t="s">
        <v>41</v>
      </c>
      <c r="G33" s="65" t="s">
        <v>47</v>
      </c>
      <c r="H33" s="59" t="str">
        <f>IFERROR(VLOOKUP(B33,Sheet2!C2:D19,2,0),"")</f>
        <v>Grip bar with an overhand or mixed grip, keep arms straight tightly arch lower back, brace core, keep hips below shoulders and weight on the heels, do not round upper or lower back, pull shoulders back and down, maintain neutral spine</v>
      </c>
      <c r="I33" s="60"/>
      <c r="J33" s="61"/>
    </row>
    <row r="34" spans="1:11" ht="16.5" thickBot="1">
      <c r="A34" s="108"/>
      <c r="B34" s="110"/>
      <c r="C34" s="112"/>
      <c r="D34" s="98"/>
      <c r="E34" s="105"/>
      <c r="F34" s="105"/>
      <c r="G34" s="66"/>
      <c r="H34" s="67"/>
      <c r="I34" s="68"/>
      <c r="J34" s="69"/>
    </row>
    <row r="35" spans="1:11" ht="16.5" thickBot="1">
      <c r="B35" s="23"/>
      <c r="C35" s="24"/>
      <c r="D35" s="25"/>
      <c r="E35" s="21"/>
      <c r="F35" s="5"/>
      <c r="G35" s="5"/>
      <c r="H35" s="171"/>
      <c r="I35" s="172"/>
      <c r="J35" s="173"/>
    </row>
    <row r="36" spans="1:11">
      <c r="A36" s="115" t="s">
        <v>9</v>
      </c>
      <c r="B36" s="99" t="s">
        <v>122</v>
      </c>
      <c r="C36" s="99">
        <v>1</v>
      </c>
      <c r="D36" s="118" t="s">
        <v>26</v>
      </c>
      <c r="E36" s="94">
        <v>3</v>
      </c>
      <c r="F36" s="94" t="s">
        <v>41</v>
      </c>
      <c r="G36" s="80" t="s">
        <v>47</v>
      </c>
      <c r="H36" s="50" t="str">
        <f>IFERROR(VLOOKUP(B36,Sheet2!E2:F19,2,0),"")</f>
        <v>Adopt appropriate width stance according to height and limb length, initiate descent by pushing hips back, descend as far as comfortable without allowing lower back to round out, push knees outward keep weight on heels, do not allow knees to travel forward of toes, keep core braced</v>
      </c>
      <c r="I36" s="51"/>
      <c r="J36" s="52"/>
      <c r="K36" t="s">
        <v>154</v>
      </c>
    </row>
    <row r="37" spans="1:11" ht="16.5" thickBot="1">
      <c r="A37" s="116"/>
      <c r="B37" s="100"/>
      <c r="C37" s="122"/>
      <c r="D37" s="119"/>
      <c r="E37" s="96"/>
      <c r="F37" s="96"/>
      <c r="G37" s="81"/>
      <c r="H37" s="56"/>
      <c r="I37" s="57"/>
      <c r="J37" s="58"/>
    </row>
    <row r="38" spans="1:11">
      <c r="A38" s="116"/>
      <c r="B38" s="113" t="s">
        <v>115</v>
      </c>
      <c r="C38" s="123">
        <v>7</v>
      </c>
      <c r="D38" s="120" t="s">
        <v>26</v>
      </c>
      <c r="E38" s="104">
        <v>3</v>
      </c>
      <c r="F38" s="104" t="s">
        <v>41</v>
      </c>
      <c r="G38" s="65" t="s">
        <v>47</v>
      </c>
      <c r="H38" s="59" t="str">
        <f>IFERROR(VLOOKUP(B38,Sheet2!E2:F19,2,0),"")</f>
        <v>Place whole foot on the top of the step, keep torso upright, perform an equal number of repetitions on each leg, set platform so that thigh is parallel to floor when foot is placed on step, minimise push off from foot on floor, look straight forward</v>
      </c>
      <c r="I38" s="60"/>
      <c r="J38" s="61"/>
    </row>
    <row r="39" spans="1:11" ht="16.5" thickBot="1">
      <c r="A39" s="116"/>
      <c r="B39" s="114"/>
      <c r="C39" s="124"/>
      <c r="D39" s="121"/>
      <c r="E39" s="105"/>
      <c r="F39" s="105"/>
      <c r="G39" s="66"/>
      <c r="H39" s="62"/>
      <c r="I39" s="63"/>
      <c r="J39" s="64"/>
    </row>
    <row r="40" spans="1:11">
      <c r="A40" s="116"/>
      <c r="B40" s="99" t="s">
        <v>124</v>
      </c>
      <c r="C40" s="99">
        <v>9</v>
      </c>
      <c r="D40" s="118" t="s">
        <v>26</v>
      </c>
      <c r="E40" s="94">
        <v>3</v>
      </c>
      <c r="F40" s="94" t="s">
        <v>41</v>
      </c>
      <c r="G40" s="84" t="s">
        <v>47</v>
      </c>
      <c r="H40" s="50" t="str">
        <f>IFERROR(VLOOKUP(B40,Sheet2!E2:F19,2,0),"")</f>
        <v xml:space="preserve">Place hands on the temples, across the chest or on the thighs as preferred. Curl up rather than sit up – there should be approximately 30-degrees of spinal flexion. Keep legs bent and feet flat on the floor and maintain neutral head alignment </v>
      </c>
      <c r="I40" s="51"/>
      <c r="J40" s="52"/>
    </row>
    <row r="41" spans="1:11" ht="16.5" thickBot="1">
      <c r="A41" s="117"/>
      <c r="B41" s="100"/>
      <c r="C41" s="122"/>
      <c r="D41" s="125"/>
      <c r="E41" s="95"/>
      <c r="F41" s="95"/>
      <c r="G41" s="85"/>
      <c r="H41" s="53"/>
      <c r="I41" s="54"/>
      <c r="J41" s="55"/>
    </row>
    <row r="42" spans="1:11" ht="16.5" thickBot="1">
      <c r="B42" s="159"/>
      <c r="C42" s="160"/>
      <c r="D42" s="160"/>
      <c r="E42" s="160"/>
      <c r="F42" s="160"/>
      <c r="G42" s="160"/>
      <c r="H42" s="160"/>
      <c r="I42" s="160"/>
      <c r="J42" s="160"/>
    </row>
    <row r="43" spans="1:11" ht="16.5" thickBot="1">
      <c r="B43" s="181" t="s">
        <v>5</v>
      </c>
      <c r="C43" s="182"/>
      <c r="D43" s="182"/>
      <c r="E43" s="182"/>
      <c r="F43" s="182"/>
      <c r="G43" s="182"/>
      <c r="H43" s="182"/>
      <c r="I43" s="182"/>
      <c r="J43" s="182"/>
    </row>
    <row r="44" spans="1:11" ht="16.5" thickBot="1">
      <c r="A44" s="4"/>
      <c r="B44" s="183" t="s">
        <v>229</v>
      </c>
      <c r="C44" s="184"/>
      <c r="D44" s="28" t="s">
        <v>148</v>
      </c>
      <c r="E44" s="16" t="s">
        <v>149</v>
      </c>
      <c r="F44" s="16" t="s">
        <v>151</v>
      </c>
      <c r="G44" s="16" t="s">
        <v>150</v>
      </c>
      <c r="H44" s="27" t="s">
        <v>156</v>
      </c>
      <c r="I44" s="153" t="s">
        <v>6</v>
      </c>
      <c r="J44" s="154"/>
    </row>
    <row r="45" spans="1:11">
      <c r="A45" s="161" t="s">
        <v>224</v>
      </c>
      <c r="B45" s="141" t="s">
        <v>141</v>
      </c>
      <c r="C45" s="174"/>
      <c r="D45" s="166" t="s">
        <v>197</v>
      </c>
      <c r="E45" s="38" t="s">
        <v>157</v>
      </c>
      <c r="F45" s="38">
        <v>3</v>
      </c>
      <c r="G45" s="38" t="s">
        <v>181</v>
      </c>
      <c r="H45" s="39" t="s">
        <v>202</v>
      </c>
      <c r="I45" s="177" t="str">
        <f>IFERROR(VLOOKUP(B45,Sheet2!N2:O5,2,0),"")</f>
        <v xml:space="preserve">Use a heel/toe action, look directly forward, stand near the front of the belt, avoid holding on while running, keep torso upright, keep upper body relaxed  </v>
      </c>
      <c r="J45" s="178"/>
    </row>
    <row r="46" spans="1:11" ht="16.5" thickBot="1">
      <c r="A46" s="162"/>
      <c r="B46" s="175"/>
      <c r="C46" s="176"/>
      <c r="D46" s="167"/>
      <c r="E46" s="40" t="s">
        <v>158</v>
      </c>
      <c r="F46" s="40">
        <v>2</v>
      </c>
      <c r="G46" s="40" t="s">
        <v>178</v>
      </c>
      <c r="H46" s="41" t="s">
        <v>200</v>
      </c>
      <c r="I46" s="179"/>
      <c r="J46" s="180"/>
    </row>
  </sheetData>
  <sheetProtection algorithmName="SHA-512" hashValue="mh9DMudjMNoJjr0cDqvuztrKSInbXBpowB0cOO2XPEKCNcCOVu4WpANfPWEGKpzFAMr3OXMsoFRmnd0gngYwug==" saltValue="ojnO4dgBI5FFzICn7GT3/A==" spinCount="100000" sheet="1" objects="1" scenarios="1" selectLockedCells="1"/>
  <mergeCells count="112">
    <mergeCell ref="A5:A6"/>
    <mergeCell ref="B42:J42"/>
    <mergeCell ref="A45:A46"/>
    <mergeCell ref="A10:A16"/>
    <mergeCell ref="D45:D46"/>
    <mergeCell ref="H26:J26"/>
    <mergeCell ref="H35:J35"/>
    <mergeCell ref="B45:C46"/>
    <mergeCell ref="I45:J46"/>
    <mergeCell ref="B43:J43"/>
    <mergeCell ref="B44:C44"/>
    <mergeCell ref="I44:J44"/>
    <mergeCell ref="A18:A25"/>
    <mergeCell ref="D24:D25"/>
    <mergeCell ref="E24:E25"/>
    <mergeCell ref="F24:F25"/>
    <mergeCell ref="G24:G25"/>
    <mergeCell ref="C20:C21"/>
    <mergeCell ref="C22:C23"/>
    <mergeCell ref="C24:C25"/>
    <mergeCell ref="E20:E21"/>
    <mergeCell ref="F20:F21"/>
    <mergeCell ref="B20:B21"/>
    <mergeCell ref="F33:F34"/>
    <mergeCell ref="B1:C2"/>
    <mergeCell ref="I1:I2"/>
    <mergeCell ref="J1:J2"/>
    <mergeCell ref="D1:H2"/>
    <mergeCell ref="I8:J8"/>
    <mergeCell ref="H17:J17"/>
    <mergeCell ref="D18:D19"/>
    <mergeCell ref="E18:E19"/>
    <mergeCell ref="F18:F19"/>
    <mergeCell ref="G18:G19"/>
    <mergeCell ref="C18:C19"/>
    <mergeCell ref="B18:B19"/>
    <mergeCell ref="B3:J3"/>
    <mergeCell ref="H18:J19"/>
    <mergeCell ref="B5:C6"/>
    <mergeCell ref="B10:C16"/>
    <mergeCell ref="D5:D6"/>
    <mergeCell ref="D10:D16"/>
    <mergeCell ref="B4:C4"/>
    <mergeCell ref="B7:C7"/>
    <mergeCell ref="I7:J7"/>
    <mergeCell ref="B9:C9"/>
    <mergeCell ref="I9:J9"/>
    <mergeCell ref="B8:C8"/>
    <mergeCell ref="F38:F39"/>
    <mergeCell ref="F40:F41"/>
    <mergeCell ref="A36:A41"/>
    <mergeCell ref="B36:B37"/>
    <mergeCell ref="D36:D37"/>
    <mergeCell ref="E36:E37"/>
    <mergeCell ref="F36:F37"/>
    <mergeCell ref="B38:B39"/>
    <mergeCell ref="D38:D39"/>
    <mergeCell ref="E38:E39"/>
    <mergeCell ref="C36:C37"/>
    <mergeCell ref="C40:C41"/>
    <mergeCell ref="C38:C39"/>
    <mergeCell ref="B40:B41"/>
    <mergeCell ref="D40:D41"/>
    <mergeCell ref="E40:E41"/>
    <mergeCell ref="A27:A34"/>
    <mergeCell ref="B27:B28"/>
    <mergeCell ref="B29:B30"/>
    <mergeCell ref="D29:D30"/>
    <mergeCell ref="E29:E30"/>
    <mergeCell ref="C27:C28"/>
    <mergeCell ref="C29:C30"/>
    <mergeCell ref="B24:B25"/>
    <mergeCell ref="B33:B34"/>
    <mergeCell ref="D33:D34"/>
    <mergeCell ref="C33:C34"/>
    <mergeCell ref="E33:E34"/>
    <mergeCell ref="D22:D23"/>
    <mergeCell ref="E22:E23"/>
    <mergeCell ref="D27:D28"/>
    <mergeCell ref="E27:E28"/>
    <mergeCell ref="F27:F28"/>
    <mergeCell ref="D20:D21"/>
    <mergeCell ref="F22:F23"/>
    <mergeCell ref="B22:B23"/>
    <mergeCell ref="C31:C32"/>
    <mergeCell ref="B31:B32"/>
    <mergeCell ref="D31:D32"/>
    <mergeCell ref="E31:E32"/>
    <mergeCell ref="F29:F30"/>
    <mergeCell ref="F31:F32"/>
    <mergeCell ref="H40:J41"/>
    <mergeCell ref="H36:J37"/>
    <mergeCell ref="H38:J39"/>
    <mergeCell ref="G33:G34"/>
    <mergeCell ref="H33:J34"/>
    <mergeCell ref="H29:J30"/>
    <mergeCell ref="I10:J16"/>
    <mergeCell ref="I5:J6"/>
    <mergeCell ref="I4:J4"/>
    <mergeCell ref="G29:G30"/>
    <mergeCell ref="G31:G32"/>
    <mergeCell ref="H27:J28"/>
    <mergeCell ref="H31:J32"/>
    <mergeCell ref="H24:J25"/>
    <mergeCell ref="G20:G21"/>
    <mergeCell ref="G22:G23"/>
    <mergeCell ref="G27:G28"/>
    <mergeCell ref="G36:G37"/>
    <mergeCell ref="G38:G39"/>
    <mergeCell ref="G40:G41"/>
    <mergeCell ref="H20:J21"/>
    <mergeCell ref="H22:J23"/>
  </mergeCells>
  <pageMargins left="0.7" right="0.7" top="0.75" bottom="0.75" header="0.3" footer="0.3"/>
  <pageSetup paperSize="9" scale="70" orientation="portrait" horizontalDpi="0" verticalDpi="0"/>
  <ignoredErrors>
    <ignoredError sqref="H33 H29 H27 H36 H31 H38 H40" emptyCellReference="1"/>
  </ignoredErrors>
  <extLst>
    <ext xmlns:x14="http://schemas.microsoft.com/office/spreadsheetml/2009/9/main" uri="{CCE6A557-97BC-4b89-ADB6-D9C93CAAB3DF}">
      <x14:dataValidations xmlns:xm="http://schemas.microsoft.com/office/excel/2006/main" count="20">
        <x14:dataValidation type="list" allowBlank="1" showInputMessage="1" showErrorMessage="1" xr:uid="{BF65CA75-448F-A641-AA3C-403B9EB5C81B}">
          <x14:formula1>
            <xm:f>Sheet2!$I$2:$I$12</xm:f>
          </x14:formula1>
          <xm:sqref>D18:D25 D27:D34 D36:D41</xm:sqref>
        </x14:dataValidation>
        <x14:dataValidation type="list" allowBlank="1" showInputMessage="1" showErrorMessage="1" xr:uid="{466381CD-BC0C-7D46-9E29-9C1B0918DA71}">
          <x14:formula1>
            <xm:f>Sheet2!$A$2:$A$19</xm:f>
          </x14:formula1>
          <xm:sqref>B18:B25</xm:sqref>
        </x14:dataValidation>
        <x14:dataValidation type="list" allowBlank="1" showInputMessage="1" showErrorMessage="1" xr:uid="{1494561A-7494-994E-8FD9-DFE5620AB441}">
          <x14:formula1>
            <xm:f>Sheet2!$C$2:$C$19</xm:f>
          </x14:formula1>
          <xm:sqref>B27:B34</xm:sqref>
        </x14:dataValidation>
        <x14:dataValidation type="list" allowBlank="1" showInputMessage="1" showErrorMessage="1" xr:uid="{8ABA42B9-2EF4-F048-9601-39C31C2AECD3}">
          <x14:formula1>
            <xm:f>Sheet2!$E$2:$E$10</xm:f>
          </x14:formula1>
          <xm:sqref>B36:B41</xm:sqref>
        </x14:dataValidation>
        <x14:dataValidation type="list" allowBlank="1" showInputMessage="1" showErrorMessage="1" xr:uid="{5C4BE258-12E4-0A40-9909-D7B4758A7EA8}">
          <x14:formula1>
            <xm:f>Sheet2!$N$2:$N$5</xm:f>
          </x14:formula1>
          <xm:sqref>B5 B10 B45:C46</xm:sqref>
        </x14:dataValidation>
        <x14:dataValidation type="list" allowBlank="1" showInputMessage="1" showErrorMessage="1" xr:uid="{193EC726-DC61-814B-A746-11957E3651D4}">
          <x14:formula1>
            <xm:f>Sheet2!$H$2:$H$12</xm:f>
          </x14:formula1>
          <xm:sqref>C18:C25 C27:C34 C36:C41</xm:sqref>
        </x14:dataValidation>
        <x14:dataValidation type="list" allowBlank="1" showInputMessage="1" showErrorMessage="1" xr:uid="{B01EC037-B4E6-9C4B-93E7-2CBE14E8A61A}">
          <x14:formula1>
            <xm:f>Sheet2!$S$1:$S$36</xm:f>
          </x14:formula1>
          <xm:sqref>G5:G6 G10:G16 G45:G46</xm:sqref>
        </x14:dataValidation>
        <x14:dataValidation type="list" allowBlank="1" showInputMessage="1" showErrorMessage="1" xr:uid="{545E8291-6B37-A04E-AD29-E6C0BC8A22DD}">
          <x14:formula1>
            <xm:f>Sheet2!$Q$2:$Q$8</xm:f>
          </x14:formula1>
          <xm:sqref>E10:E16 E5:E6</xm:sqref>
        </x14:dataValidation>
        <x14:dataValidation type="list" allowBlank="1" showInputMessage="1" showErrorMessage="1" xr:uid="{5D183630-30FC-C94E-8B14-6584B8179670}">
          <x14:formula1>
            <xm:f>Sheet2!$R$2:$R$11</xm:f>
          </x14:formula1>
          <xm:sqref>F5:F6 F10:F16 F45:F46</xm:sqref>
        </x14:dataValidation>
        <x14:dataValidation type="list" allowBlank="1" showInputMessage="1" showErrorMessage="1" xr:uid="{18E9BA43-6452-1D46-8A81-5E00A4957E24}">
          <x14:formula1>
            <xm:f>Sheet2!$T$2:$T$12</xm:f>
          </x14:formula1>
          <xm:sqref>H5:H6 H10:H16 H45:H46</xm:sqref>
        </x14:dataValidation>
        <x14:dataValidation type="list" allowBlank="1" showInputMessage="1" showErrorMessage="1" xr:uid="{B1969A91-A9AF-A549-9953-A65826F7F9E1}">
          <x14:formula1>
            <xm:f>Sheet2!$V$2:$V$6</xm:f>
          </x14:formula1>
          <xm:sqref>E8 G8 B8:C8</xm:sqref>
        </x14:dataValidation>
        <x14:dataValidation type="list" allowBlank="1" showInputMessage="1" showErrorMessage="1" xr:uid="{7D06F0A7-04B2-2744-B2C1-B0768866A55F}">
          <x14:formula1>
            <xm:f>Sheet2!$W$2:$W$4</xm:f>
          </x14:formula1>
          <xm:sqref>D8 F8 H8</xm:sqref>
        </x14:dataValidation>
        <x14:dataValidation type="list" allowBlank="1" showInputMessage="1" showErrorMessage="1" xr:uid="{74E2B9F4-8ED2-EC49-BB06-292AF90B5B13}">
          <x14:formula1>
            <xm:f>Sheet2!$X$2</xm:f>
          </x14:formula1>
          <xm:sqref>D10:D16</xm:sqref>
        </x14:dataValidation>
        <x14:dataValidation type="list" allowBlank="1" showInputMessage="1" showErrorMessage="1" xr:uid="{C040C0D3-2925-4448-81F1-859B4C7A512F}">
          <x14:formula1>
            <xm:f>Sheet2!$X$3</xm:f>
          </x14:formula1>
          <xm:sqref>D5:D6 D45:D46</xm:sqref>
        </x14:dataValidation>
        <x14:dataValidation type="list" allowBlank="1" showInputMessage="1" showErrorMessage="1" xr:uid="{47FC6156-8F72-9441-A4D0-FF35DFFE1CF3}">
          <x14:formula1>
            <xm:f>Sheet2!$Q$2:$Q$3</xm:f>
          </x14:formula1>
          <xm:sqref>E45:E46</xm:sqref>
        </x14:dataValidation>
        <x14:dataValidation type="list" allowBlank="1" showInputMessage="1" showErrorMessage="1" xr:uid="{8BEF8872-3E11-BC41-A640-40AF428BA77E}">
          <x14:formula1>
            <xm:f>Sheet2!$J$2:$J$12</xm:f>
          </x14:formula1>
          <xm:sqref>E20:E25</xm:sqref>
        </x14:dataValidation>
        <x14:dataValidation type="list" allowBlank="1" showInputMessage="1" showErrorMessage="1" xr:uid="{BB663609-38D6-D143-B755-D943559CA48B}">
          <x14:formula1>
            <xm:f>Sheet2!$K$2:$K$12</xm:f>
          </x14:formula1>
          <xm:sqref>F18:F25 F27:F34 F36:F41</xm:sqref>
        </x14:dataValidation>
        <x14:dataValidation type="list" allowBlank="1" showInputMessage="1" showErrorMessage="1" xr:uid="{42150EC8-E46B-A347-B869-167A1CAD8001}">
          <x14:formula1>
            <xm:f>Sheet2!$L$2:$L$12</xm:f>
          </x14:formula1>
          <xm:sqref>G18:G25 G36:G41</xm:sqref>
        </x14:dataValidation>
        <x14:dataValidation type="list" allowBlank="1" showInputMessage="1" showErrorMessage="1" xr:uid="{26A11806-C0F2-6F48-A962-5B59619D7D00}">
          <x14:formula1>
            <xm:f>Sheet2!$M$2:$M$7</xm:f>
          </x14:formula1>
          <xm:sqref>E18:E19 E27:E34 E36:E41</xm:sqref>
        </x14:dataValidation>
        <x14:dataValidation type="list" allowBlank="1" showInputMessage="1" showErrorMessage="1" xr:uid="{E3B339B9-BD3E-D54E-AE32-B1D8909CC386}">
          <x14:formula1>
            <xm:f>Sheet2!$L$2:$L$11</xm:f>
          </x14:formula1>
          <xm:sqref>G27:G34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3F29F-812A-544F-A679-4575CF1A3192}">
  <dimension ref="A1:X46"/>
  <sheetViews>
    <sheetView topLeftCell="A14" zoomScale="80" zoomScaleNormal="80" workbookViewId="0">
      <selection activeCell="B25" sqref="B25"/>
    </sheetView>
  </sheetViews>
  <sheetFormatPr defaultColWidth="11" defaultRowHeight="15.75"/>
  <cols>
    <col min="1" max="1" width="19.5" bestFit="1" customWidth="1"/>
    <col min="2" max="2" width="52" customWidth="1"/>
    <col min="3" max="3" width="16" bestFit="1" customWidth="1"/>
    <col min="4" max="4" width="35.625" customWidth="1"/>
    <col min="5" max="5" width="11.625" bestFit="1" customWidth="1"/>
    <col min="6" max="6" width="34.875" customWidth="1"/>
    <col min="7" max="8" width="11.625" customWidth="1"/>
    <col min="9" max="12" width="10.875" style="2"/>
    <col min="15" max="15" width="28.125" customWidth="1"/>
    <col min="17" max="17" width="10.875" style="11"/>
    <col min="19" max="19" width="18.125" bestFit="1" customWidth="1"/>
    <col min="20" max="20" width="14" bestFit="1" customWidth="1"/>
    <col min="22" max="22" width="30.625" bestFit="1" customWidth="1"/>
    <col min="23" max="23" width="10.875" style="11"/>
  </cols>
  <sheetData>
    <row r="1" spans="1:24" s="1" customFormat="1" ht="29.1" customHeight="1">
      <c r="A1" s="1" t="s">
        <v>7</v>
      </c>
      <c r="C1" s="1" t="s">
        <v>8</v>
      </c>
      <c r="D1" s="1" t="s">
        <v>61</v>
      </c>
      <c r="E1" s="1" t="s">
        <v>9</v>
      </c>
      <c r="H1" s="10" t="s">
        <v>153</v>
      </c>
      <c r="I1" s="3" t="s">
        <v>2</v>
      </c>
      <c r="J1" s="3" t="s">
        <v>1</v>
      </c>
      <c r="K1" s="3" t="s">
        <v>3</v>
      </c>
      <c r="L1" s="3" t="s">
        <v>4</v>
      </c>
      <c r="N1" s="1" t="s">
        <v>140</v>
      </c>
      <c r="Q1" s="12" t="s">
        <v>161</v>
      </c>
      <c r="R1" s="1" t="s">
        <v>162</v>
      </c>
      <c r="S1" s="1" t="s">
        <v>230</v>
      </c>
      <c r="T1" s="1" t="s">
        <v>156</v>
      </c>
      <c r="V1" s="1" t="s">
        <v>211</v>
      </c>
      <c r="W1" s="14" t="s">
        <v>220</v>
      </c>
    </row>
    <row r="2" spans="1:24" ht="123" customHeight="1">
      <c r="A2" t="s">
        <v>10</v>
      </c>
      <c r="B2" s="4" t="s">
        <v>62</v>
      </c>
      <c r="C2" t="s">
        <v>12</v>
      </c>
      <c r="D2" s="4" t="s">
        <v>58</v>
      </c>
      <c r="E2" t="s">
        <v>15</v>
      </c>
      <c r="F2" s="4" t="s">
        <v>117</v>
      </c>
      <c r="H2">
        <v>1</v>
      </c>
      <c r="I2" s="2" t="s">
        <v>18</v>
      </c>
      <c r="J2" s="2">
        <v>6</v>
      </c>
      <c r="K2" s="2" t="s">
        <v>19</v>
      </c>
      <c r="L2" s="2" t="s">
        <v>46</v>
      </c>
      <c r="M2">
        <v>6</v>
      </c>
      <c r="N2" s="2" t="s">
        <v>141</v>
      </c>
      <c r="O2" s="8" t="s">
        <v>145</v>
      </c>
      <c r="Q2" s="11" t="s">
        <v>157</v>
      </c>
      <c r="R2">
        <v>1</v>
      </c>
      <c r="T2" t="s">
        <v>198</v>
      </c>
      <c r="V2" t="s">
        <v>212</v>
      </c>
      <c r="W2" s="11" t="s">
        <v>221</v>
      </c>
      <c r="X2" t="s">
        <v>225</v>
      </c>
    </row>
    <row r="3" spans="1:24" ht="78.75">
      <c r="A3" t="s">
        <v>11</v>
      </c>
      <c r="B3" s="4" t="s">
        <v>63</v>
      </c>
      <c r="C3" t="s">
        <v>13</v>
      </c>
      <c r="D3" s="4" t="s">
        <v>59</v>
      </c>
      <c r="E3" t="s">
        <v>16</v>
      </c>
      <c r="F3" s="4" t="s">
        <v>120</v>
      </c>
      <c r="H3">
        <v>2</v>
      </c>
      <c r="I3" s="2" t="s">
        <v>20</v>
      </c>
      <c r="J3" s="2" t="s">
        <v>30</v>
      </c>
      <c r="K3" s="2" t="s">
        <v>35</v>
      </c>
      <c r="L3" s="2" t="s">
        <v>54</v>
      </c>
      <c r="M3">
        <v>5</v>
      </c>
      <c r="N3" s="2" t="s">
        <v>142</v>
      </c>
      <c r="O3" s="4" t="s">
        <v>147</v>
      </c>
      <c r="Q3" s="11" t="s">
        <v>158</v>
      </c>
      <c r="R3">
        <v>2</v>
      </c>
      <c r="S3" t="s">
        <v>163</v>
      </c>
      <c r="T3" t="s">
        <v>199</v>
      </c>
      <c r="V3" t="s">
        <v>213</v>
      </c>
      <c r="W3" s="11" t="s">
        <v>222</v>
      </c>
      <c r="X3" t="s">
        <v>197</v>
      </c>
    </row>
    <row r="4" spans="1:24" ht="110.25">
      <c r="A4" t="s">
        <v>64</v>
      </c>
      <c r="B4" s="4" t="s">
        <v>65</v>
      </c>
      <c r="C4" t="s">
        <v>56</v>
      </c>
      <c r="D4" s="4" t="s">
        <v>57</v>
      </c>
      <c r="E4" t="s">
        <v>119</v>
      </c>
      <c r="F4" s="4" t="s">
        <v>118</v>
      </c>
      <c r="H4">
        <v>3</v>
      </c>
      <c r="I4" s="2" t="s">
        <v>21</v>
      </c>
      <c r="J4" s="2" t="s">
        <v>30</v>
      </c>
      <c r="K4" s="2" t="s">
        <v>36</v>
      </c>
      <c r="L4" s="2" t="s">
        <v>53</v>
      </c>
      <c r="M4">
        <v>4</v>
      </c>
      <c r="N4" s="2" t="s">
        <v>143</v>
      </c>
      <c r="O4" s="4" t="s">
        <v>146</v>
      </c>
      <c r="Q4" s="11" t="s">
        <v>159</v>
      </c>
      <c r="R4">
        <v>3</v>
      </c>
      <c r="S4" t="s">
        <v>164</v>
      </c>
      <c r="T4" t="s">
        <v>200</v>
      </c>
      <c r="V4" t="s">
        <v>214</v>
      </c>
      <c r="W4" s="11" t="s">
        <v>223</v>
      </c>
    </row>
    <row r="5" spans="1:24" ht="78.75">
      <c r="A5" t="s">
        <v>66</v>
      </c>
      <c r="B5" s="4" t="s">
        <v>69</v>
      </c>
      <c r="C5" t="s">
        <v>14</v>
      </c>
      <c r="D5" s="4" t="s">
        <v>60</v>
      </c>
      <c r="E5" t="s">
        <v>17</v>
      </c>
      <c r="F5" s="4" t="s">
        <v>123</v>
      </c>
      <c r="H5">
        <v>4</v>
      </c>
      <c r="I5" s="2" t="s">
        <v>22</v>
      </c>
      <c r="J5" s="2" t="s">
        <v>31</v>
      </c>
      <c r="K5" s="2" t="s">
        <v>37</v>
      </c>
      <c r="L5" s="2" t="s">
        <v>52</v>
      </c>
      <c r="M5">
        <v>3</v>
      </c>
      <c r="N5" s="2" t="s">
        <v>144</v>
      </c>
      <c r="O5" s="4" t="s">
        <v>155</v>
      </c>
      <c r="Q5" s="11" t="s">
        <v>160</v>
      </c>
      <c r="R5">
        <v>4</v>
      </c>
      <c r="S5" t="s">
        <v>165</v>
      </c>
      <c r="T5" t="s">
        <v>201</v>
      </c>
      <c r="V5" t="s">
        <v>215</v>
      </c>
    </row>
    <row r="6" spans="1:24" ht="126">
      <c r="A6" t="s">
        <v>67</v>
      </c>
      <c r="B6" s="4" t="s">
        <v>68</v>
      </c>
      <c r="C6" t="s">
        <v>98</v>
      </c>
      <c r="D6" s="4" t="s">
        <v>130</v>
      </c>
      <c r="E6" t="s">
        <v>122</v>
      </c>
      <c r="F6" s="4" t="s">
        <v>121</v>
      </c>
      <c r="H6">
        <v>5</v>
      </c>
      <c r="I6" s="2" t="s">
        <v>23</v>
      </c>
      <c r="J6" s="2" t="s">
        <v>31</v>
      </c>
      <c r="K6" s="2" t="s">
        <v>38</v>
      </c>
      <c r="L6" s="2" t="s">
        <v>45</v>
      </c>
      <c r="M6">
        <v>2</v>
      </c>
      <c r="Q6" s="11" t="s">
        <v>26</v>
      </c>
      <c r="R6">
        <v>5</v>
      </c>
      <c r="S6" t="s">
        <v>166</v>
      </c>
      <c r="T6" t="s">
        <v>202</v>
      </c>
      <c r="V6" t="s">
        <v>216</v>
      </c>
    </row>
    <row r="7" spans="1:24" ht="110.25">
      <c r="A7" t="s">
        <v>70</v>
      </c>
      <c r="B7" s="4" t="s">
        <v>71</v>
      </c>
      <c r="C7" t="s">
        <v>91</v>
      </c>
      <c r="D7" s="4" t="s">
        <v>92</v>
      </c>
      <c r="E7" t="s">
        <v>115</v>
      </c>
      <c r="F7" s="4" t="s">
        <v>116</v>
      </c>
      <c r="H7">
        <v>6</v>
      </c>
      <c r="I7" s="2" t="s">
        <v>24</v>
      </c>
      <c r="J7" s="2" t="s">
        <v>32</v>
      </c>
      <c r="K7" s="2" t="s">
        <v>39</v>
      </c>
      <c r="L7" s="2" t="s">
        <v>51</v>
      </c>
      <c r="M7">
        <v>1</v>
      </c>
      <c r="Q7" s="11" t="s">
        <v>27</v>
      </c>
      <c r="R7">
        <v>6</v>
      </c>
      <c r="S7" t="s">
        <v>167</v>
      </c>
      <c r="T7" t="s">
        <v>203</v>
      </c>
    </row>
    <row r="8" spans="1:24" ht="110.25">
      <c r="A8" t="s">
        <v>73</v>
      </c>
      <c r="B8" s="4" t="s">
        <v>72</v>
      </c>
      <c r="C8" t="s">
        <v>94</v>
      </c>
      <c r="D8" s="4" t="s">
        <v>93</v>
      </c>
      <c r="E8" t="s">
        <v>124</v>
      </c>
      <c r="F8" s="4" t="s">
        <v>125</v>
      </c>
      <c r="H8">
        <v>7</v>
      </c>
      <c r="I8" s="2" t="s">
        <v>25</v>
      </c>
      <c r="J8" s="2" t="s">
        <v>32</v>
      </c>
      <c r="K8" s="2" t="s">
        <v>40</v>
      </c>
      <c r="L8" s="2" t="s">
        <v>50</v>
      </c>
      <c r="Q8" s="11" t="s">
        <v>28</v>
      </c>
      <c r="R8">
        <v>7</v>
      </c>
      <c r="S8" t="s">
        <v>168</v>
      </c>
      <c r="T8" t="s">
        <v>204</v>
      </c>
    </row>
    <row r="9" spans="1:24" ht="78.75">
      <c r="A9" t="s">
        <v>74</v>
      </c>
      <c r="B9" s="4" t="s">
        <v>75</v>
      </c>
      <c r="C9" t="s">
        <v>96</v>
      </c>
      <c r="D9" s="4" t="s">
        <v>95</v>
      </c>
      <c r="E9" t="s">
        <v>126</v>
      </c>
      <c r="F9" s="4" t="s">
        <v>127</v>
      </c>
      <c r="H9">
        <v>8</v>
      </c>
      <c r="I9" s="2" t="s">
        <v>26</v>
      </c>
      <c r="J9" s="2" t="s">
        <v>32</v>
      </c>
      <c r="K9" s="2" t="s">
        <v>41</v>
      </c>
      <c r="L9" s="2" t="s">
        <v>47</v>
      </c>
      <c r="R9">
        <v>8</v>
      </c>
      <c r="S9" s="13" t="s">
        <v>196</v>
      </c>
      <c r="T9" t="s">
        <v>205</v>
      </c>
    </row>
    <row r="10" spans="1:24" ht="78.75">
      <c r="A10" t="s">
        <v>77</v>
      </c>
      <c r="B10" s="4" t="s">
        <v>76</v>
      </c>
      <c r="C10" t="s">
        <v>97</v>
      </c>
      <c r="D10" s="4" t="s">
        <v>58</v>
      </c>
      <c r="E10" s="4" t="s">
        <v>128</v>
      </c>
      <c r="F10" s="4" t="s">
        <v>129</v>
      </c>
      <c r="H10">
        <v>9</v>
      </c>
      <c r="I10" s="2" t="s">
        <v>27</v>
      </c>
      <c r="J10" s="2" t="s">
        <v>33</v>
      </c>
      <c r="K10" s="2" t="s">
        <v>42</v>
      </c>
      <c r="L10" s="2" t="s">
        <v>49</v>
      </c>
      <c r="R10">
        <v>9</v>
      </c>
      <c r="S10" t="s">
        <v>169</v>
      </c>
      <c r="T10" t="s">
        <v>208</v>
      </c>
    </row>
    <row r="11" spans="1:24" ht="110.25">
      <c r="A11" t="s">
        <v>78</v>
      </c>
      <c r="B11" s="4" t="s">
        <v>79</v>
      </c>
      <c r="C11" s="4" t="s">
        <v>100</v>
      </c>
      <c r="D11" s="4" t="s">
        <v>99</v>
      </c>
      <c r="H11">
        <v>10</v>
      </c>
      <c r="I11" s="2" t="s">
        <v>28</v>
      </c>
      <c r="J11" s="2" t="s">
        <v>33</v>
      </c>
      <c r="K11" s="2" t="s">
        <v>43</v>
      </c>
      <c r="L11" s="2" t="s">
        <v>48</v>
      </c>
      <c r="R11">
        <v>10</v>
      </c>
      <c r="S11" t="s">
        <v>170</v>
      </c>
      <c r="T11" t="s">
        <v>206</v>
      </c>
    </row>
    <row r="12" spans="1:24" ht="78.75">
      <c r="A12" t="s">
        <v>80</v>
      </c>
      <c r="B12" s="4" t="s">
        <v>81</v>
      </c>
      <c r="C12" t="s">
        <v>101</v>
      </c>
      <c r="D12" s="4" t="s">
        <v>102</v>
      </c>
      <c r="H12">
        <v>11</v>
      </c>
      <c r="I12" s="2" t="s">
        <v>29</v>
      </c>
      <c r="J12" s="2" t="s">
        <v>34</v>
      </c>
      <c r="K12" s="2" t="s">
        <v>44</v>
      </c>
      <c r="L12" s="2" t="s">
        <v>55</v>
      </c>
      <c r="S12" t="s">
        <v>171</v>
      </c>
      <c r="T12" t="s">
        <v>207</v>
      </c>
    </row>
    <row r="13" spans="1:24" ht="94.5">
      <c r="A13" t="s">
        <v>83</v>
      </c>
      <c r="B13" s="4" t="s">
        <v>82</v>
      </c>
      <c r="C13" s="4" t="s">
        <v>104</v>
      </c>
      <c r="D13" s="4" t="s">
        <v>103</v>
      </c>
      <c r="S13" t="s">
        <v>172</v>
      </c>
    </row>
    <row r="14" spans="1:24" ht="78.75">
      <c r="A14" t="s">
        <v>85</v>
      </c>
      <c r="B14" s="4" t="s">
        <v>84</v>
      </c>
      <c r="C14" s="4" t="s">
        <v>105</v>
      </c>
      <c r="D14" s="4" t="s">
        <v>106</v>
      </c>
      <c r="S14" t="s">
        <v>173</v>
      </c>
    </row>
    <row r="15" spans="1:24" ht="157.5">
      <c r="A15" t="s">
        <v>86</v>
      </c>
      <c r="B15" s="4" t="s">
        <v>87</v>
      </c>
      <c r="C15" s="4" t="s">
        <v>107</v>
      </c>
      <c r="D15" s="4" t="s">
        <v>108</v>
      </c>
      <c r="S15" t="s">
        <v>174</v>
      </c>
    </row>
    <row r="16" spans="1:24" ht="78.75">
      <c r="A16" t="s">
        <v>88</v>
      </c>
      <c r="B16" s="4" t="s">
        <v>89</v>
      </c>
      <c r="C16" s="4" t="s">
        <v>109</v>
      </c>
      <c r="D16" s="4" t="s">
        <v>110</v>
      </c>
      <c r="S16" t="s">
        <v>175</v>
      </c>
    </row>
    <row r="17" spans="1:19" ht="94.5">
      <c r="A17" t="s">
        <v>133</v>
      </c>
      <c r="B17" s="4" t="s">
        <v>90</v>
      </c>
      <c r="C17" s="4" t="s">
        <v>111</v>
      </c>
      <c r="D17" s="4" t="s">
        <v>112</v>
      </c>
      <c r="S17" t="s">
        <v>176</v>
      </c>
    </row>
    <row r="18" spans="1:19" ht="126">
      <c r="A18" t="s">
        <v>136</v>
      </c>
      <c r="B18" s="7" t="s">
        <v>134</v>
      </c>
      <c r="C18" s="4" t="s">
        <v>113</v>
      </c>
      <c r="D18" s="4" t="s">
        <v>114</v>
      </c>
      <c r="S18" s="13" t="s">
        <v>195</v>
      </c>
    </row>
    <row r="19" spans="1:19" ht="110.25">
      <c r="A19" t="s">
        <v>135</v>
      </c>
      <c r="B19" s="7" t="s">
        <v>137</v>
      </c>
      <c r="C19" s="4" t="s">
        <v>115</v>
      </c>
      <c r="D19" s="4" t="s">
        <v>116</v>
      </c>
      <c r="S19" t="s">
        <v>177</v>
      </c>
    </row>
    <row r="20" spans="1:19">
      <c r="S20" t="s">
        <v>178</v>
      </c>
    </row>
    <row r="21" spans="1:19">
      <c r="S21" t="s">
        <v>179</v>
      </c>
    </row>
    <row r="22" spans="1:19">
      <c r="S22" t="s">
        <v>180</v>
      </c>
    </row>
    <row r="23" spans="1:19">
      <c r="S23" t="s">
        <v>181</v>
      </c>
    </row>
    <row r="24" spans="1:19">
      <c r="S24" t="s">
        <v>182</v>
      </c>
    </row>
    <row r="25" spans="1:19">
      <c r="B25" s="4"/>
      <c r="S25" t="s">
        <v>183</v>
      </c>
    </row>
    <row r="26" spans="1:19">
      <c r="B26" s="4"/>
      <c r="S26" t="s">
        <v>184</v>
      </c>
    </row>
    <row r="27" spans="1:19">
      <c r="B27" s="4"/>
      <c r="S27" t="s">
        <v>185</v>
      </c>
    </row>
    <row r="28" spans="1:19">
      <c r="B28" s="4"/>
      <c r="S28" t="s">
        <v>186</v>
      </c>
    </row>
    <row r="29" spans="1:19">
      <c r="B29" s="4"/>
      <c r="S29" t="s">
        <v>187</v>
      </c>
    </row>
    <row r="30" spans="1:19">
      <c r="B30" s="4"/>
      <c r="S30" t="s">
        <v>188</v>
      </c>
    </row>
    <row r="31" spans="1:19">
      <c r="B31" s="4"/>
      <c r="S31" t="s">
        <v>189</v>
      </c>
    </row>
    <row r="32" spans="1:19">
      <c r="B32" s="4"/>
      <c r="S32" t="s">
        <v>190</v>
      </c>
    </row>
    <row r="33" spans="2:19">
      <c r="B33" s="4"/>
      <c r="S33" t="s">
        <v>191</v>
      </c>
    </row>
    <row r="34" spans="2:19">
      <c r="B34" s="4"/>
      <c r="S34" t="s">
        <v>192</v>
      </c>
    </row>
    <row r="35" spans="2:19">
      <c r="B35" s="4"/>
      <c r="S35" t="s">
        <v>193</v>
      </c>
    </row>
    <row r="36" spans="2:19">
      <c r="B36" s="4"/>
      <c r="S36" t="s">
        <v>194</v>
      </c>
    </row>
    <row r="37" spans="2:19">
      <c r="B37" s="4"/>
    </row>
    <row r="38" spans="2:19">
      <c r="B38" s="4"/>
    </row>
    <row r="39" spans="2:19">
      <c r="B39" s="4"/>
    </row>
    <row r="40" spans="2:19">
      <c r="B40" s="4"/>
    </row>
    <row r="41" spans="2:19">
      <c r="B41" s="4"/>
    </row>
    <row r="42" spans="2:19">
      <c r="B42" s="4"/>
    </row>
    <row r="43" spans="2:19">
      <c r="B43" s="4"/>
    </row>
    <row r="44" spans="2:19">
      <c r="B44" s="4"/>
    </row>
    <row r="45" spans="2:19">
      <c r="B45" s="4"/>
    </row>
    <row r="46" spans="2:19">
      <c r="B46" s="4"/>
    </row>
  </sheetData>
  <sheetProtection algorithmName="SHA-512" hashValue="mc4yJSV+XwIlxRx4NrJ2jttMOFUVMhn9TxCK0ZhvfqSmSWouf/KJp4J2WdengUdBRpRuqhaqvnZJiXfZTlqcWw==" saltValue="5bW4yOMGPj+gPmsVCvjDEA==" spinCount="100000" sheet="1" objects="1" scenarios="1"/>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Sheet1</vt:lpstr>
      <vt:lpstr>Sheet2</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Dean Whittingslow</cp:lastModifiedBy>
  <cp:lastPrinted>2018-12-03T16:20:42Z</cp:lastPrinted>
  <dcterms:created xsi:type="dcterms:W3CDTF">2018-11-28T10:59:53Z</dcterms:created>
  <dcterms:modified xsi:type="dcterms:W3CDTF">2024-02-09T09:35:32Z</dcterms:modified>
</cp:coreProperties>
</file>